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-jo\OneDrive\Dokumente\Schlauchmanegtment App\"/>
    </mc:Choice>
  </mc:AlternateContent>
  <xr:revisionPtr revIDLastSave="0" documentId="13_ncr:1_{E62DDEBD-B222-4B4A-B948-166A2D2FB5DE}" xr6:coauthVersionLast="47" xr6:coauthVersionMax="47" xr10:uidLastSave="{00000000-0000-0000-0000-000000000000}"/>
  <bookViews>
    <workbookView xWindow="-120" yWindow="-120" windowWidth="29040" windowHeight="15720" xr2:uid="{2AEC10D9-A564-41C9-B7DB-5096DE510084}"/>
  </bookViews>
  <sheets>
    <sheet name="Tabelle1" sheetId="1" r:id="rId1"/>
    <sheet name="Auswahlseite" sheetId="2" r:id="rId2"/>
  </sheets>
  <externalReferences>
    <externalReference r:id="rId3"/>
  </externalReferences>
  <definedNames>
    <definedName name="Nennweite10">Tabelle1!$W$2:$W$97</definedName>
    <definedName name="Nennweite12">Tabelle1!$X$2:$X$97</definedName>
    <definedName name="Nennweite16">Tabelle1!$Y$2:$Y$97</definedName>
    <definedName name="Nennweite18">Tabelle1!$Z$2:$Z$97</definedName>
    <definedName name="Nennweite20">Tabelle1!$AA$2:$AA$97</definedName>
    <definedName name="Nennweite25">Tabelle1!$AB$2:$AB$98</definedName>
    <definedName name="Nennweite32">Tabelle1!$AC$2:$AC$97</definedName>
    <definedName name="Nennweite40">Tabelle1!$AD$2:$AD$97</definedName>
    <definedName name="Nennweite50">Tabelle1!$AE$2:$AE$97</definedName>
    <definedName name="Nennweite6">Tabelle1!$U$2:$U$97</definedName>
    <definedName name="Nennweite60">[1]Tabelle1!$AF$2:$AF$97</definedName>
    <definedName name="Nennweite8">Tabelle1!$V$2:$V$97</definedName>
    <definedName name="Schlauch">[1]Auswahlseite!$A$1:$A$14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022" i="1" l="1"/>
  <c r="T992" i="1"/>
  <c r="T962" i="1"/>
  <c r="T932" i="1"/>
  <c r="T902" i="1"/>
  <c r="T872" i="1"/>
  <c r="T842" i="1"/>
  <c r="T812" i="1"/>
  <c r="T782" i="1"/>
  <c r="T752" i="1"/>
  <c r="E752" i="1"/>
  <c r="B723" i="1"/>
  <c r="T722" i="1"/>
  <c r="E722" i="1"/>
  <c r="B722" i="1"/>
  <c r="B693" i="1"/>
  <c r="T692" i="1"/>
  <c r="E692" i="1"/>
  <c r="B692" i="1"/>
  <c r="B663" i="1"/>
  <c r="B1023" i="1" s="1"/>
  <c r="T662" i="1"/>
  <c r="E662" i="1"/>
  <c r="E1022" i="1" s="1"/>
  <c r="B662" i="1"/>
  <c r="B1022" i="1" s="1"/>
  <c r="B633" i="1"/>
  <c r="B993" i="1" s="1"/>
  <c r="T632" i="1"/>
  <c r="E632" i="1"/>
  <c r="E992" i="1" s="1"/>
  <c r="B632" i="1"/>
  <c r="B992" i="1" s="1"/>
  <c r="B603" i="1"/>
  <c r="B963" i="1" s="1"/>
  <c r="T602" i="1"/>
  <c r="E602" i="1"/>
  <c r="E962" i="1" s="1"/>
  <c r="B602" i="1"/>
  <c r="B962" i="1" s="1"/>
  <c r="B573" i="1"/>
  <c r="B933" i="1" s="1"/>
  <c r="T572" i="1"/>
  <c r="E572" i="1"/>
  <c r="E932" i="1" s="1"/>
  <c r="B572" i="1"/>
  <c r="B932" i="1" s="1"/>
  <c r="B543" i="1"/>
  <c r="B903" i="1" s="1"/>
  <c r="T542" i="1"/>
  <c r="E542" i="1"/>
  <c r="E902" i="1" s="1"/>
  <c r="B542" i="1"/>
  <c r="B902" i="1" s="1"/>
  <c r="B513" i="1"/>
  <c r="B873" i="1" s="1"/>
  <c r="T512" i="1"/>
  <c r="E512" i="1"/>
  <c r="E872" i="1" s="1"/>
  <c r="B512" i="1"/>
  <c r="B872" i="1" s="1"/>
  <c r="B483" i="1"/>
  <c r="B843" i="1" s="1"/>
  <c r="T482" i="1"/>
  <c r="E482" i="1"/>
  <c r="E842" i="1" s="1"/>
  <c r="B482" i="1"/>
  <c r="B842" i="1" s="1"/>
  <c r="B453" i="1"/>
  <c r="B813" i="1" s="1"/>
  <c r="T452" i="1"/>
  <c r="E452" i="1"/>
  <c r="E812" i="1" s="1"/>
  <c r="B452" i="1"/>
  <c r="B812" i="1" s="1"/>
  <c r="B423" i="1"/>
  <c r="B783" i="1" s="1"/>
  <c r="T422" i="1"/>
  <c r="E422" i="1"/>
  <c r="E782" i="1" s="1"/>
  <c r="B422" i="1"/>
  <c r="B782" i="1" s="1"/>
  <c r="B393" i="1"/>
  <c r="B753" i="1" s="1"/>
  <c r="T392" i="1"/>
  <c r="B363" i="1"/>
  <c r="T362" i="1"/>
  <c r="E362" i="1"/>
  <c r="B362" i="1"/>
  <c r="B392" i="1" s="1"/>
  <c r="B752" i="1" s="1"/>
  <c r="G360" i="1"/>
  <c r="C360" i="1"/>
  <c r="G359" i="1"/>
  <c r="C359" i="1"/>
  <c r="B333" i="1"/>
  <c r="T332" i="1"/>
  <c r="E332" i="1"/>
  <c r="B332" i="1"/>
  <c r="G330" i="1"/>
  <c r="C330" i="1"/>
  <c r="G329" i="1"/>
  <c r="C329" i="1"/>
  <c r="B303" i="1"/>
  <c r="T302" i="1"/>
  <c r="E302" i="1"/>
  <c r="B302" i="1"/>
  <c r="G300" i="1"/>
  <c r="C300" i="1"/>
  <c r="G299" i="1"/>
  <c r="C299" i="1"/>
  <c r="B273" i="1"/>
  <c r="T272" i="1"/>
  <c r="E272" i="1"/>
  <c r="B272" i="1"/>
  <c r="G270" i="1"/>
  <c r="C270" i="1"/>
  <c r="G269" i="1"/>
  <c r="C269" i="1"/>
  <c r="B243" i="1"/>
  <c r="T242" i="1"/>
  <c r="E242" i="1"/>
  <c r="B242" i="1"/>
  <c r="G240" i="1"/>
  <c r="C240" i="1"/>
  <c r="G239" i="1"/>
  <c r="C239" i="1"/>
  <c r="B213" i="1"/>
  <c r="T212" i="1"/>
  <c r="E212" i="1"/>
  <c r="B212" i="1"/>
  <c r="G210" i="1"/>
  <c r="C210" i="1"/>
  <c r="G209" i="1"/>
  <c r="C209" i="1"/>
  <c r="B183" i="1"/>
  <c r="T182" i="1"/>
  <c r="E182" i="1"/>
  <c r="B182" i="1"/>
  <c r="G180" i="1"/>
  <c r="C180" i="1"/>
  <c r="G179" i="1"/>
  <c r="C179" i="1"/>
  <c r="B153" i="1"/>
  <c r="T152" i="1"/>
  <c r="E152" i="1"/>
  <c r="B152" i="1"/>
  <c r="G150" i="1"/>
  <c r="C150" i="1"/>
  <c r="G149" i="1"/>
  <c r="C149" i="1"/>
  <c r="B123" i="1"/>
  <c r="T122" i="1"/>
  <c r="E122" i="1"/>
  <c r="B122" i="1"/>
  <c r="G120" i="1"/>
  <c r="C120" i="1"/>
  <c r="G119" i="1"/>
  <c r="C119" i="1"/>
  <c r="B93" i="1"/>
  <c r="T92" i="1"/>
  <c r="E92" i="1"/>
  <c r="B92" i="1"/>
  <c r="G90" i="1"/>
  <c r="C90" i="1"/>
  <c r="G89" i="1"/>
  <c r="C89" i="1"/>
  <c r="B63" i="1"/>
  <c r="T62" i="1"/>
  <c r="E62" i="1"/>
  <c r="B62" i="1"/>
  <c r="G60" i="1"/>
  <c r="G390" i="1" s="1"/>
  <c r="C60" i="1"/>
  <c r="C390" i="1" s="1"/>
  <c r="G59" i="1"/>
  <c r="G389" i="1" s="1"/>
  <c r="C59" i="1"/>
  <c r="C389" i="1" s="1"/>
  <c r="B33" i="1"/>
  <c r="T32" i="1"/>
  <c r="B32" i="1"/>
  <c r="AN24" i="1"/>
  <c r="AM24" i="1"/>
  <c r="AK24" i="1"/>
  <c r="AL24" i="1" s="1"/>
  <c r="AM23" i="1"/>
  <c r="AN23" i="1" s="1"/>
  <c r="AL23" i="1"/>
  <c r="AK23" i="1"/>
  <c r="AM22" i="1"/>
  <c r="AN22" i="1" s="1"/>
  <c r="AL22" i="1"/>
  <c r="AK22" i="1"/>
  <c r="AM21" i="1"/>
  <c r="AN21" i="1" s="1"/>
  <c r="AK21" i="1"/>
  <c r="AL21" i="1" s="1"/>
  <c r="AM20" i="1"/>
  <c r="AN20" i="1" s="1"/>
  <c r="AK20" i="1"/>
  <c r="AL20" i="1" s="1"/>
  <c r="AM19" i="1"/>
  <c r="AN19" i="1" s="1"/>
  <c r="AK19" i="1"/>
  <c r="AL19" i="1" s="1"/>
  <c r="AM18" i="1"/>
  <c r="AN18" i="1" s="1"/>
  <c r="AK18" i="1"/>
  <c r="AL18" i="1" s="1"/>
  <c r="AN17" i="1"/>
  <c r="AM17" i="1"/>
  <c r="AK17" i="1"/>
  <c r="AL17" i="1" s="1"/>
  <c r="AN16" i="1"/>
  <c r="AM16" i="1"/>
  <c r="AK16" i="1"/>
  <c r="AL16" i="1" s="1"/>
  <c r="AM15" i="1"/>
  <c r="AN15" i="1" s="1"/>
  <c r="AL15" i="1"/>
  <c r="AK15" i="1"/>
  <c r="AM14" i="1"/>
  <c r="AN14" i="1" s="1"/>
  <c r="AL14" i="1"/>
  <c r="AK14" i="1"/>
  <c r="AM13" i="1"/>
  <c r="AN13" i="1" s="1"/>
  <c r="AK13" i="1"/>
  <c r="AL13" i="1" s="1"/>
  <c r="AM12" i="1"/>
  <c r="AN12" i="1" s="1"/>
  <c r="AK12" i="1"/>
  <c r="AL12" i="1" s="1"/>
  <c r="AM11" i="1"/>
  <c r="AN11" i="1" s="1"/>
  <c r="AK11" i="1"/>
  <c r="AL11" i="1" s="1"/>
  <c r="AM10" i="1"/>
  <c r="AN10" i="1" s="1"/>
  <c r="AK10" i="1"/>
  <c r="AL10" i="1" s="1"/>
  <c r="AN9" i="1"/>
  <c r="AM9" i="1"/>
  <c r="AK9" i="1"/>
  <c r="AL9" i="1" s="1"/>
  <c r="AN8" i="1"/>
  <c r="AM8" i="1"/>
  <c r="AK8" i="1"/>
  <c r="AL8" i="1" s="1"/>
  <c r="AM7" i="1"/>
  <c r="AN7" i="1" s="1"/>
  <c r="AL7" i="1"/>
  <c r="AK7" i="1"/>
  <c r="AM6" i="1"/>
  <c r="AN6" i="1" s="1"/>
  <c r="AL6" i="1"/>
  <c r="AK6" i="1"/>
  <c r="AM5" i="1"/>
  <c r="AN5" i="1" s="1"/>
  <c r="AK5" i="1"/>
  <c r="AL5" i="1" s="1"/>
  <c r="T2" i="1"/>
  <c r="G719" i="1" l="1"/>
  <c r="G1049" i="1" s="1"/>
  <c r="G689" i="1"/>
  <c r="G1019" i="1" s="1"/>
  <c r="G659" i="1"/>
  <c r="G989" i="1" s="1"/>
  <c r="G629" i="1"/>
  <c r="G959" i="1" s="1"/>
  <c r="G599" i="1"/>
  <c r="G929" i="1" s="1"/>
  <c r="G569" i="1"/>
  <c r="G899" i="1" s="1"/>
  <c r="G539" i="1"/>
  <c r="G869" i="1" s="1"/>
  <c r="G509" i="1"/>
  <c r="G839" i="1" s="1"/>
  <c r="G479" i="1"/>
  <c r="G809" i="1" s="1"/>
  <c r="G449" i="1"/>
  <c r="G779" i="1" s="1"/>
  <c r="G419" i="1"/>
  <c r="G749" i="1" s="1"/>
  <c r="C720" i="1"/>
  <c r="C1050" i="1" s="1"/>
  <c r="C690" i="1"/>
  <c r="C1020" i="1" s="1"/>
  <c r="C660" i="1"/>
  <c r="C990" i="1" s="1"/>
  <c r="C630" i="1"/>
  <c r="C960" i="1" s="1"/>
  <c r="C600" i="1"/>
  <c r="C930" i="1" s="1"/>
  <c r="C570" i="1"/>
  <c r="C900" i="1" s="1"/>
  <c r="C540" i="1"/>
  <c r="C870" i="1" s="1"/>
  <c r="C510" i="1"/>
  <c r="C840" i="1" s="1"/>
  <c r="C480" i="1"/>
  <c r="C810" i="1" s="1"/>
  <c r="C450" i="1"/>
  <c r="C780" i="1" s="1"/>
  <c r="C420" i="1"/>
  <c r="C750" i="1" s="1"/>
  <c r="G720" i="1"/>
  <c r="G1050" i="1" s="1"/>
  <c r="G690" i="1"/>
  <c r="G1020" i="1" s="1"/>
  <c r="G660" i="1"/>
  <c r="G990" i="1" s="1"/>
  <c r="G630" i="1"/>
  <c r="G960" i="1" s="1"/>
  <c r="G600" i="1"/>
  <c r="G930" i="1" s="1"/>
  <c r="G570" i="1"/>
  <c r="G900" i="1" s="1"/>
  <c r="G540" i="1"/>
  <c r="G870" i="1" s="1"/>
  <c r="G510" i="1"/>
  <c r="G840" i="1" s="1"/>
  <c r="G480" i="1"/>
  <c r="G810" i="1" s="1"/>
  <c r="G450" i="1"/>
  <c r="G780" i="1" s="1"/>
  <c r="G420" i="1"/>
  <c r="G750" i="1" s="1"/>
  <c r="C719" i="1"/>
  <c r="C1049" i="1" s="1"/>
  <c r="C689" i="1"/>
  <c r="C1019" i="1" s="1"/>
  <c r="C659" i="1"/>
  <c r="C989" i="1" s="1"/>
  <c r="C629" i="1"/>
  <c r="C959" i="1" s="1"/>
  <c r="C599" i="1"/>
  <c r="C929" i="1" s="1"/>
  <c r="C569" i="1"/>
  <c r="C899" i="1" s="1"/>
  <c r="C539" i="1"/>
  <c r="C869" i="1" s="1"/>
  <c r="C509" i="1"/>
  <c r="C839" i="1" s="1"/>
  <c r="C479" i="1"/>
  <c r="C809" i="1" s="1"/>
  <c r="C449" i="1"/>
  <c r="C779" i="1" s="1"/>
  <c r="C419" i="1"/>
  <c r="C749" i="1" s="1"/>
</calcChain>
</file>

<file path=xl/sharedStrings.xml><?xml version="1.0" encoding="utf-8"?>
<sst xmlns="http://schemas.openxmlformats.org/spreadsheetml/2006/main" count="8258" uniqueCount="354">
  <si>
    <t xml:space="preserve">                                      Schlauchmanagement in Anlehnung an DGUV 113-020</t>
  </si>
  <si>
    <t>Betreiber</t>
  </si>
  <si>
    <t>Datum</t>
  </si>
  <si>
    <t>Unterschrift</t>
  </si>
  <si>
    <t>Formel</t>
  </si>
  <si>
    <t>NW6</t>
  </si>
  <si>
    <t>NW8</t>
  </si>
  <si>
    <t>NW10</t>
  </si>
  <si>
    <t>NW12</t>
  </si>
  <si>
    <t>NW16</t>
  </si>
  <si>
    <t>NW20</t>
  </si>
  <si>
    <t>NW25</t>
  </si>
  <si>
    <t>NW32</t>
  </si>
  <si>
    <t>NW40</t>
  </si>
  <si>
    <t>NW50</t>
  </si>
  <si>
    <t>NW63</t>
  </si>
  <si>
    <t>Kunde</t>
  </si>
  <si>
    <t>Version:1</t>
  </si>
  <si>
    <t>Länge</t>
  </si>
  <si>
    <t>Lage 
A</t>
  </si>
  <si>
    <t>Lage 
B</t>
  </si>
  <si>
    <t>max. Druck (Bar)</t>
  </si>
  <si>
    <t>Herstell- datum</t>
  </si>
  <si>
    <t>Sicherheits-technische Bewertung</t>
  </si>
  <si>
    <t>Theor. Lebens-dauer</t>
  </si>
  <si>
    <t>Prüfung am</t>
  </si>
  <si>
    <t>Prüfung*</t>
  </si>
  <si>
    <t>Nächste Prüfung</t>
  </si>
  <si>
    <t>Prüfer</t>
  </si>
  <si>
    <t>Einbauort</t>
  </si>
  <si>
    <t xml:space="preserve">Bemerkung
</t>
  </si>
  <si>
    <t>DKOL6-6L</t>
  </si>
  <si>
    <t>DKOL8-10L</t>
  </si>
  <si>
    <t>DKOL10-12L</t>
  </si>
  <si>
    <t>DKOL12-15L</t>
  </si>
  <si>
    <t>DKOL16-18L</t>
  </si>
  <si>
    <t>DKOL20-22L</t>
  </si>
  <si>
    <t>DKOL25-28L</t>
  </si>
  <si>
    <t>DKOL32-35L</t>
  </si>
  <si>
    <t>DKOL40-42L</t>
  </si>
  <si>
    <t>SFL3-2"</t>
  </si>
  <si>
    <t xml:space="preserve">SFL3 2/1/2" </t>
  </si>
  <si>
    <t>Anlage</t>
  </si>
  <si>
    <t>DKOL6-6L-90°</t>
  </si>
  <si>
    <t>DKOL8-10L-90°</t>
  </si>
  <si>
    <t>DKOL10-12L-90°</t>
  </si>
  <si>
    <t>DKOL12-15L-90°</t>
  </si>
  <si>
    <t>DKOL16-18L-90°</t>
  </si>
  <si>
    <t>DKOL20-22L-90°</t>
  </si>
  <si>
    <t>DKOL25-28L-90°</t>
  </si>
  <si>
    <t>DKOL32-35L-90°</t>
  </si>
  <si>
    <t>DKOL40-42L-90°</t>
  </si>
  <si>
    <t>SFL3-2"-90°</t>
  </si>
  <si>
    <t>SFL3 2/1/2" 90°</t>
  </si>
  <si>
    <t>Kennz.</t>
  </si>
  <si>
    <t>Schlauch</t>
  </si>
  <si>
    <t>NW</t>
  </si>
  <si>
    <t>Anschluss A</t>
  </si>
  <si>
    <t>Anschluss B</t>
  </si>
  <si>
    <t>DKOL6-6L-45°</t>
  </si>
  <si>
    <t>DKOL8-10L-45°</t>
  </si>
  <si>
    <t>DKOL10-12L-45°</t>
  </si>
  <si>
    <t>DKOL12-15L-45°</t>
  </si>
  <si>
    <t>DKOL16-18L-45°</t>
  </si>
  <si>
    <t>DKOL20-22L-45°</t>
  </si>
  <si>
    <t>DKOL25-28L-45°</t>
  </si>
  <si>
    <t>DKOL32-35L-45°</t>
  </si>
  <si>
    <t>DKOL40-42L-45°</t>
  </si>
  <si>
    <t>SFL3-2"-45°</t>
  </si>
  <si>
    <t>SFL3 2/1/2" 45°</t>
  </si>
  <si>
    <t>DKOL6-8L</t>
  </si>
  <si>
    <t>DKOL8-12L</t>
  </si>
  <si>
    <t>DKOL10-10L</t>
  </si>
  <si>
    <t>DKOS12-16S</t>
  </si>
  <si>
    <t>DKOS16-20S</t>
  </si>
  <si>
    <t>DKOS20-25S</t>
  </si>
  <si>
    <t>DKOS25-30S</t>
  </si>
  <si>
    <t>DKOS32-38S</t>
  </si>
  <si>
    <t>SFL3-11/2"</t>
  </si>
  <si>
    <t>SFS6-S-2"</t>
  </si>
  <si>
    <t>DKOL6-8L-90°</t>
  </si>
  <si>
    <t>DKOS12-16S-90°</t>
  </si>
  <si>
    <t>DKOS16-20S-90°</t>
  </si>
  <si>
    <t>DKOS20-25S-90°</t>
  </si>
  <si>
    <t>DKOS25-30S-90°</t>
  </si>
  <si>
    <t>DKOS32-38S-90°</t>
  </si>
  <si>
    <t>SFL3-11/2"-90°</t>
  </si>
  <si>
    <t>SFS6-S-2"-90°</t>
  </si>
  <si>
    <t>DKOL6-8L-45°</t>
  </si>
  <si>
    <t>DKOS8-10S</t>
  </si>
  <si>
    <t>DKOS10-12S</t>
  </si>
  <si>
    <t>DKOS12-16S-45°</t>
  </si>
  <si>
    <t>DKOS16-20S-45°</t>
  </si>
  <si>
    <t>DKOS20-25S-45°</t>
  </si>
  <si>
    <t>DKOS25-30S-45°</t>
  </si>
  <si>
    <t>DKOS32-38S-45°</t>
  </si>
  <si>
    <t>SFL3-11/2"-45°</t>
  </si>
  <si>
    <t>SFS6-S-2"-45°</t>
  </si>
  <si>
    <t>DKOS8-10S-90°</t>
  </si>
  <si>
    <t>DKOS10-12S-90°</t>
  </si>
  <si>
    <t>DKOL6-10L</t>
  </si>
  <si>
    <t>DKOS8-10S-45°</t>
  </si>
  <si>
    <t>DKOS10-12S-45°</t>
  </si>
  <si>
    <t>SFL3-1/2"</t>
  </si>
  <si>
    <t>DKOSS20-25S</t>
  </si>
  <si>
    <t>DKOSS25-30S</t>
  </si>
  <si>
    <t>DKOSS32-38S</t>
  </si>
  <si>
    <t>AGR50-2"</t>
  </si>
  <si>
    <t>SFL3-1/2"-90°</t>
  </si>
  <si>
    <t>DKOSS20-25S-90°</t>
  </si>
  <si>
    <t>DKOSS25-30S-90°</t>
  </si>
  <si>
    <t>DKOSS32-38S-90°</t>
  </si>
  <si>
    <t>DKOL6-12L</t>
  </si>
  <si>
    <t>DKOS8-12S</t>
  </si>
  <si>
    <t>DKOS10-14S</t>
  </si>
  <si>
    <t xml:space="preserve">SFL3-1/2"-45° </t>
  </si>
  <si>
    <t>SFL3-1/2"-45°</t>
  </si>
  <si>
    <t>DKOSS20-25S-45°</t>
  </si>
  <si>
    <t>DKOSS25-30S-45°</t>
  </si>
  <si>
    <t>DKOSS32-38S-45°</t>
  </si>
  <si>
    <t>DKR50-2"</t>
  </si>
  <si>
    <t>DKOS8-12S-90°</t>
  </si>
  <si>
    <t>DKOS10-14S-90°</t>
  </si>
  <si>
    <t>DKR50-2"-90°</t>
  </si>
  <si>
    <t>DKOS6-6S</t>
  </si>
  <si>
    <t>DKOS8-12S-45°</t>
  </si>
  <si>
    <t>DKOS10-14S-45°</t>
  </si>
  <si>
    <t>SFS6-1/2"</t>
  </si>
  <si>
    <t>SFL3-3/4"</t>
  </si>
  <si>
    <t>SFL3-1"</t>
  </si>
  <si>
    <t>SFL3-11/4"</t>
  </si>
  <si>
    <t>SFS6-11/2"</t>
  </si>
  <si>
    <t>DKR50-2"-45°</t>
  </si>
  <si>
    <t xml:space="preserve"> </t>
  </si>
  <si>
    <t>DKOS6-6S-90°</t>
  </si>
  <si>
    <t>SFS6-1/2"-90°</t>
  </si>
  <si>
    <t>SFL3-3/4"-90°</t>
  </si>
  <si>
    <t>SFL3-1"-90°</t>
  </si>
  <si>
    <t>SFL3-11/4"-90°</t>
  </si>
  <si>
    <t>SFS6-11/2"-90°</t>
  </si>
  <si>
    <t>DKOS6-6S-45°</t>
  </si>
  <si>
    <t>AGR8-1/4"</t>
  </si>
  <si>
    <t>DKOS10-16S</t>
  </si>
  <si>
    <t xml:space="preserve">SFS6-1/2"-45° </t>
  </si>
  <si>
    <t>SFL3-3/4"-45°</t>
  </si>
  <si>
    <t>SFL3-1"-45°</t>
  </si>
  <si>
    <t>SFL3-11/4"-45°</t>
  </si>
  <si>
    <t>SFS6-11/2"-45°</t>
  </si>
  <si>
    <t>AGR8-3/8"</t>
  </si>
  <si>
    <t>DKOS6-8S</t>
  </si>
  <si>
    <t>AGR10-3/8"</t>
  </si>
  <si>
    <t>SFS6-3/4"</t>
  </si>
  <si>
    <t>SFL3-S-11/2"</t>
  </si>
  <si>
    <t>DKOS6-8S-90°</t>
  </si>
  <si>
    <t>DKR8-1/4"</t>
  </si>
  <si>
    <t>AGR10-1/2"</t>
  </si>
  <si>
    <t>SFS6-3/4"-90°</t>
  </si>
  <si>
    <t>SFL3-S-11/2"-90°</t>
  </si>
  <si>
    <t>DKOS6-8S-45°</t>
  </si>
  <si>
    <t>DKR8-1/4"-90°</t>
  </si>
  <si>
    <t>SFS6-3/4"-45°</t>
  </si>
  <si>
    <t>SFL3-S-11/2"-45°</t>
  </si>
  <si>
    <t>DKR8-1/4"-45°</t>
  </si>
  <si>
    <t>DKR10-3/8"</t>
  </si>
  <si>
    <t>DKOS6-10S</t>
  </si>
  <si>
    <t>DKR10-3/8"-90°</t>
  </si>
  <si>
    <t>AGR12-1/2"</t>
  </si>
  <si>
    <t>SFS6-1"</t>
  </si>
  <si>
    <t>SFS6-11/4"</t>
  </si>
  <si>
    <t>SFL3-S-2"</t>
  </si>
  <si>
    <t>DKOS6-10S-90°</t>
  </si>
  <si>
    <t>DKR8-3/8"</t>
  </si>
  <si>
    <t>DKR10-3/8"-45°</t>
  </si>
  <si>
    <t>SFS6-1"-90°</t>
  </si>
  <si>
    <t>SFS6-11/4"-90°</t>
  </si>
  <si>
    <t>SFL3-S-2"-90°</t>
  </si>
  <si>
    <t>DKOS6-10S-45°</t>
  </si>
  <si>
    <t>DKR8-3/8"-90°</t>
  </si>
  <si>
    <t>DKR12-1/2"</t>
  </si>
  <si>
    <t>SFS6-1"-45°</t>
  </si>
  <si>
    <t>SFS6-11/4"-45°</t>
  </si>
  <si>
    <t>SFL3-S-2"-45°</t>
  </si>
  <si>
    <t xml:space="preserve">Klassifizierung sicherheitstechnische Bewertung:                                                                     </t>
  </si>
  <si>
    <t xml:space="preserve"> * Dokumentation des Ist-Zustands am Tag der Prüfung</t>
  </si>
  <si>
    <t>DKR8-3/8"-45°</t>
  </si>
  <si>
    <t>DKR10-1/2"</t>
  </si>
  <si>
    <t>DKR12-1/2"-90°</t>
  </si>
  <si>
    <t>Hydraulikschlauch Druck &lt;5 bar, kein Schaden an Mensch, Umwelt möglich. Schaden an Maschine wird von Betreiber als nicht relevant gesehen.</t>
  </si>
  <si>
    <t>DKJ20-1 1/16"-90°</t>
  </si>
  <si>
    <t>AGJ25-1 5/16"</t>
  </si>
  <si>
    <t>AGJ32-1 5/8"</t>
  </si>
  <si>
    <t>Hydraulikschlauch, normaler Einsatz, keine Gefährdung von Menschen bei Versagen.</t>
  </si>
  <si>
    <t>AGR6-1/4"</t>
  </si>
  <si>
    <t>AGJ8-9/16"</t>
  </si>
  <si>
    <t>DKR10-1/2"-45°</t>
  </si>
  <si>
    <t>AGR16-3/4"</t>
  </si>
  <si>
    <t>SFS6-S-11/2"-90°</t>
  </si>
  <si>
    <t>Hydraulikschlauch, Gefährdung von Menschen bei Versagen möglich, Schutzmaßnahmen müssen vorhanden sein.</t>
  </si>
  <si>
    <t>AGJ8-1/2"</t>
  </si>
  <si>
    <t>AGJ12-7/8"</t>
  </si>
  <si>
    <t>AGR16-5/8"</t>
  </si>
  <si>
    <t>SFS6-S-11/2"-45°</t>
  </si>
  <si>
    <t>Ersteller:</t>
  </si>
  <si>
    <t xml:space="preserve">Liste ausgestellt am: </t>
  </si>
  <si>
    <t>Untersch.</t>
  </si>
  <si>
    <t>Dieses Dokument wurde maschinell erstellt und ist ohne Unterschrift gültig!</t>
  </si>
  <si>
    <t>DKR6-1/8"</t>
  </si>
  <si>
    <t>AGJ10-9/16"</t>
  </si>
  <si>
    <t>AGJ12-3/4"</t>
  </si>
  <si>
    <t>Bearbeiter:</t>
  </si>
  <si>
    <t>Datum:</t>
  </si>
  <si>
    <t>DKJ8-9/16"</t>
  </si>
  <si>
    <t>AGJ10-7/8"</t>
  </si>
  <si>
    <t>DKR16-1/2"</t>
  </si>
  <si>
    <t>SFL3-S-1"</t>
  </si>
  <si>
    <t>SFL3-S-11/4"</t>
  </si>
  <si>
    <t>AGR40-11/2"</t>
  </si>
  <si>
    <t>Version:</t>
  </si>
  <si>
    <t>DKR6-3/8"-90°</t>
  </si>
  <si>
    <t>DKJ8-1/2"-45°</t>
  </si>
  <si>
    <t>DKJ12-3/4"-90°</t>
  </si>
  <si>
    <t>DKR16-5/8"</t>
  </si>
  <si>
    <t>SFS6-S-3/4"-45°</t>
  </si>
  <si>
    <t>SFL3-S-11/4"-45°</t>
  </si>
  <si>
    <t>AGJ40-1 7/8"</t>
  </si>
  <si>
    <t>DKR6-3/8"-45°</t>
  </si>
  <si>
    <t>DKJ10-7/8"</t>
  </si>
  <si>
    <t>DKJ12-3/4"-45°</t>
  </si>
  <si>
    <t>DKR16-5/8"-90°</t>
  </si>
  <si>
    <t>CEL8-10L</t>
  </si>
  <si>
    <t>DKJ10-7/8"-90°</t>
  </si>
  <si>
    <t>DKR16-5/8"-45°</t>
  </si>
  <si>
    <t>SFS6-S-1"</t>
  </si>
  <si>
    <t>SFS6-S-11/4"</t>
  </si>
  <si>
    <t>DKJ40-1 7/8"</t>
  </si>
  <si>
    <t>AGJ6-7/16"</t>
  </si>
  <si>
    <t>DKJ10-7/8"-45°</t>
  </si>
  <si>
    <t>CEL12-15L</t>
  </si>
  <si>
    <t>SFS6-S-1"-90°</t>
  </si>
  <si>
    <t>SFS6-S-11/4"-90°</t>
  </si>
  <si>
    <t>DKJ40-1 7/8"-90°</t>
  </si>
  <si>
    <t>AGJ6-1/2"</t>
  </si>
  <si>
    <t>CES8-12S</t>
  </si>
  <si>
    <t>AGJ16-7/8"</t>
  </si>
  <si>
    <t>SFS6-S-1"-45°</t>
  </si>
  <si>
    <t>SFS6-S-11/4"-45°</t>
  </si>
  <si>
    <t>DKJ40-1 7/8"-45°</t>
  </si>
  <si>
    <t>AGJ6-9/16"</t>
  </si>
  <si>
    <t>DKJ10-3/4"</t>
  </si>
  <si>
    <t>CES12-16S</t>
  </si>
  <si>
    <t>AGJ16-1 1/16"</t>
  </si>
  <si>
    <t>DKJ10-3/4"-90°</t>
  </si>
  <si>
    <t>AGR20-3/4"</t>
  </si>
  <si>
    <t>SFS6-S-11/2"</t>
  </si>
  <si>
    <t>CEL40-42L</t>
  </si>
  <si>
    <t>DKJ6-7/16"</t>
  </si>
  <si>
    <t>DKJ10-3/4"-45°</t>
  </si>
  <si>
    <t>DKJ16-7/8"</t>
  </si>
  <si>
    <t>AGR20-1"</t>
  </si>
  <si>
    <t>DKJ6-7/16"-90°</t>
  </si>
  <si>
    <t>DKJ16-7/8"-90°</t>
  </si>
  <si>
    <t>SFS6--S11/2"-45°</t>
  </si>
  <si>
    <t>DKJ6-7/16"-45°</t>
  </si>
  <si>
    <t>CEL-12L</t>
  </si>
  <si>
    <t>DKJ16-7/8"-45°</t>
  </si>
  <si>
    <t>DKR20-3/4"</t>
  </si>
  <si>
    <t>DKR20-3/4"-90°</t>
  </si>
  <si>
    <t>AGR25-1"</t>
  </si>
  <si>
    <t>AGR32-11/4"</t>
  </si>
  <si>
    <t>DKJ6-1/2"</t>
  </si>
  <si>
    <t>CES-12S</t>
  </si>
  <si>
    <t>DKJ16-1 1/16"</t>
  </si>
  <si>
    <t>DKR20-3/4"-45°</t>
  </si>
  <si>
    <t>AGR25-11/4"</t>
  </si>
  <si>
    <t>AGR32-11/2"</t>
  </si>
  <si>
    <t>DKJ6-1/2"-90°</t>
  </si>
  <si>
    <t>DKJ16-1 1/16"-90°</t>
  </si>
  <si>
    <t>DKJ6-1/2"-45°</t>
  </si>
  <si>
    <t>DKJ16-1 1/16"-45°</t>
  </si>
  <si>
    <t>DKR20-1"</t>
  </si>
  <si>
    <t>DKR25-1"</t>
  </si>
  <si>
    <t>DKR32-11/4"</t>
  </si>
  <si>
    <t>DKR20-1"-90°</t>
  </si>
  <si>
    <t>DKR25-1"-90°</t>
  </si>
  <si>
    <t>DKR32-11/4"-90°</t>
  </si>
  <si>
    <t>DKJ6-9/16"</t>
  </si>
  <si>
    <t>CEL16-18L</t>
  </si>
  <si>
    <t>DKR20-1"-45°</t>
  </si>
  <si>
    <t>DKR25-1"-45°</t>
  </si>
  <si>
    <t>DKR32-11/4"-45°</t>
  </si>
  <si>
    <t>DKJ6-9/16"-90°</t>
  </si>
  <si>
    <t>DKJ6-9/16"-45°</t>
  </si>
  <si>
    <t>CES16-20S</t>
  </si>
  <si>
    <t>AGJ20-1 1/16"</t>
  </si>
  <si>
    <t>DKR25-11/4"</t>
  </si>
  <si>
    <t>DKR32-11/2"</t>
  </si>
  <si>
    <t>AGJ20-1 5/16</t>
  </si>
  <si>
    <t>DKR25-11/4"-90°</t>
  </si>
  <si>
    <t>DKR32-11/2"-90°</t>
  </si>
  <si>
    <t>CEL6-6L</t>
  </si>
  <si>
    <t>DKR25-11/4"-45°</t>
  </si>
  <si>
    <t>DKR32-11/2"-45°</t>
  </si>
  <si>
    <t xml:space="preserve">Klassifizierung Sicherheitstechnische Bewertung:                                                                     </t>
  </si>
  <si>
    <t>CEL6-8L</t>
  </si>
  <si>
    <t>DKJ20-1 1/16"</t>
  </si>
  <si>
    <t>DKOS20-20S</t>
  </si>
  <si>
    <t>CEL25-28L</t>
  </si>
  <si>
    <t>DKOSS20-20S</t>
  </si>
  <si>
    <t>CES25-30S</t>
  </si>
  <si>
    <t>DKOSS20-20S-90°</t>
  </si>
  <si>
    <t>DKOSS20-20S-45°</t>
  </si>
  <si>
    <t>DKOSS25-25S</t>
  </si>
  <si>
    <t>DKOSS25-25S-90°</t>
  </si>
  <si>
    <t>DKOSS20-25S SW41</t>
  </si>
  <si>
    <t>DKOSS25-25S-45°</t>
  </si>
  <si>
    <t>DKOSS20-25S-90° SW41</t>
  </si>
  <si>
    <t>DKOSS20-25S-45° SW41</t>
  </si>
  <si>
    <t>DKOS20-25S SW41</t>
  </si>
  <si>
    <t>DKOS20-25S-90° SW41</t>
  </si>
  <si>
    <t>DKOS20-25S-45° SW41</t>
  </si>
  <si>
    <t>AGR6-1/8"</t>
  </si>
  <si>
    <t>DKR10-1/2"-90°</t>
  </si>
  <si>
    <t>DKR12-1/2"-45°</t>
  </si>
  <si>
    <t>AGR16-1/2"</t>
  </si>
  <si>
    <t>1SN</t>
  </si>
  <si>
    <t>Druckreferenz Schlauch-Nennweite</t>
  </si>
  <si>
    <t>Druckreferenz Anschlüsse</t>
  </si>
  <si>
    <t>2SN</t>
  </si>
  <si>
    <t>XVERWEIS in Spalte AJ</t>
  </si>
  <si>
    <t>XVERWEIS in Spalte AK</t>
  </si>
  <si>
    <t>4SP</t>
  </si>
  <si>
    <t>Typ</t>
  </si>
  <si>
    <t>max BAR</t>
  </si>
  <si>
    <t>Anschlussart</t>
  </si>
  <si>
    <t>4SH</t>
  </si>
  <si>
    <t>R13</t>
  </si>
  <si>
    <t>R15</t>
  </si>
  <si>
    <t>1TE</t>
  </si>
  <si>
    <t>2TE</t>
  </si>
  <si>
    <t>3TE</t>
  </si>
  <si>
    <t>Minimess</t>
  </si>
  <si>
    <t>DKOL6-10L-90°</t>
  </si>
  <si>
    <t>Teflon</t>
  </si>
  <si>
    <t>DKOL6-10L-45°</t>
  </si>
  <si>
    <t>R4</t>
  </si>
  <si>
    <t>2245N</t>
  </si>
  <si>
    <t>DKOL10-15L</t>
  </si>
  <si>
    <t>DKOS32-38S-90</t>
  </si>
  <si>
    <t>1C9NX-12-05</t>
  </si>
  <si>
    <t xml:space="preserve">10CNX-12-05 </t>
  </si>
  <si>
    <t>11CNX-12-05</t>
  </si>
  <si>
    <t>1C9NX-14-06</t>
  </si>
  <si>
    <t>10CNX-14-06</t>
  </si>
  <si>
    <t>11CNX-14-06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</si>
</sst>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7]mmm/\ yy;@"/>
    <numFmt numFmtId="165" formatCode="d/m/yy;@"/>
    <numFmt numFmtId="166" formatCode="mmm/yy"/>
  </numFmts>
  <fonts count="1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color theme="3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 Unicode MS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3" xfId="0" applyFont="1" applyBorder="1" applyAlignment="1">
      <alignment horizontal="center" vertical="center"/>
    </xf>
    <xf numFmtId="49" fontId="5" fillId="0" borderId="3" xfId="0" quotePrefix="1" applyNumberFormat="1" applyFont="1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7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8" fillId="0" borderId="7" xfId="0" applyFont="1" applyBorder="1" applyAlignment="1">
      <alignment horizontal="center" wrapText="1"/>
    </xf>
    <xf numFmtId="0" fontId="6" fillId="0" borderId="0" xfId="0" applyFont="1"/>
    <xf numFmtId="164" fontId="0" fillId="0" borderId="3" xfId="0" applyNumberFormat="1" applyBorder="1"/>
    <xf numFmtId="1" fontId="0" fillId="0" borderId="7" xfId="0" applyNumberFormat="1" applyBorder="1"/>
    <xf numFmtId="49" fontId="0" fillId="0" borderId="7" xfId="0" applyNumberFormat="1" applyBorder="1" applyAlignment="1">
      <alignment horizontal="center"/>
    </xf>
    <xf numFmtId="166" fontId="0" fillId="0" borderId="7" xfId="0" quotePrefix="1" applyNumberFormat="1" applyBorder="1" applyAlignment="1">
      <alignment horizontal="center"/>
    </xf>
    <xf numFmtId="49" fontId="6" fillId="0" borderId="3" xfId="0" quotePrefix="1" applyNumberFormat="1" applyFont="1" applyBorder="1" applyAlignment="1">
      <alignment horizontal="center"/>
    </xf>
    <xf numFmtId="164" fontId="0" fillId="0" borderId="12" xfId="0" quotePrefix="1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9" fillId="0" borderId="0" xfId="0" applyFont="1"/>
    <xf numFmtId="0" fontId="0" fillId="0" borderId="3" xfId="0" applyBorder="1"/>
    <xf numFmtId="0" fontId="6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64" fontId="0" fillId="0" borderId="7" xfId="0" applyNumberFormat="1" applyBorder="1"/>
    <xf numFmtId="164" fontId="0" fillId="0" borderId="12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14" fontId="1" fillId="5" borderId="1" xfId="0" applyNumberFormat="1" applyFont="1" applyFill="1" applyBorder="1" applyAlignment="1">
      <alignment horizontal="center"/>
    </xf>
    <xf numFmtId="14" fontId="1" fillId="5" borderId="2" xfId="0" applyNumberFormat="1" applyFont="1" applyFill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/>
    <xf numFmtId="0" fontId="6" fillId="0" borderId="2" xfId="0" applyFont="1" applyBorder="1"/>
    <xf numFmtId="0" fontId="6" fillId="0" borderId="4" xfId="0" applyFont="1" applyBorder="1"/>
    <xf numFmtId="165" fontId="6" fillId="0" borderId="6" xfId="0" applyNumberFormat="1" applyFon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</cellXfs>
  <cellStyles count="1">
    <cellStyle name="Standard" xfId="0" builtinId="0"/>
  </cellStyles>
  <dxfs count="13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954015</xdr:colOff>
      <xdr:row>1</xdr:row>
      <xdr:rowOff>3080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17C8C48-AD3D-0336-B03F-EECB42BF64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0"/>
          <a:ext cx="2430390" cy="612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954015</xdr:colOff>
      <xdr:row>31</xdr:row>
      <xdr:rowOff>3081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9C6314F-E76C-49B4-87B5-733F50E522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8225118"/>
          <a:ext cx="2433191" cy="6081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954015</xdr:colOff>
      <xdr:row>61</xdr:row>
      <xdr:rowOff>3080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47CE4758-BB7F-41AA-B300-F2DBE4A0B1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6450235"/>
          <a:ext cx="2433191" cy="6081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954015</xdr:colOff>
      <xdr:row>91</xdr:row>
      <xdr:rowOff>3080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2E6939C-AFBC-46C0-AE59-CB3252A156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4675353"/>
          <a:ext cx="2433191" cy="6081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3</xdr:col>
      <xdr:colOff>954015</xdr:colOff>
      <xdr:row>121</xdr:row>
      <xdr:rowOff>3081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64785DD8-F7C2-453F-9395-E40BF6B29B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32900471"/>
          <a:ext cx="2433191" cy="60819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3</xdr:col>
      <xdr:colOff>954015</xdr:colOff>
      <xdr:row>151</xdr:row>
      <xdr:rowOff>3079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4C41DDC4-BEFE-4DE7-BE86-988FE62ED9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40685357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3</xdr:col>
      <xdr:colOff>954015</xdr:colOff>
      <xdr:row>181</xdr:row>
      <xdr:rowOff>3080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12AF32A8-253A-455E-8709-A0EB147644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48822429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3</xdr:col>
      <xdr:colOff>954015</xdr:colOff>
      <xdr:row>211</xdr:row>
      <xdr:rowOff>3080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7D7592AE-7A40-4739-99E4-A262E5ED0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56959500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3</xdr:col>
      <xdr:colOff>954015</xdr:colOff>
      <xdr:row>241</xdr:row>
      <xdr:rowOff>3079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518CF873-D266-446E-96EF-F12046B785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65096571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3</xdr:col>
      <xdr:colOff>954015</xdr:colOff>
      <xdr:row>271</xdr:row>
      <xdr:rowOff>3080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7DAE7E38-DEA9-406B-870C-C5065A25EF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73233643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3</xdr:col>
      <xdr:colOff>954015</xdr:colOff>
      <xdr:row>301</xdr:row>
      <xdr:rowOff>3079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5C3707D3-4443-4EF3-8DFF-085239A8A2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81370714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3</xdr:col>
      <xdr:colOff>954015</xdr:colOff>
      <xdr:row>331</xdr:row>
      <xdr:rowOff>3080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DDDDA0B9-A3F8-4463-938A-1C09C0841D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89507786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3</xdr:col>
      <xdr:colOff>954015</xdr:colOff>
      <xdr:row>361</xdr:row>
      <xdr:rowOff>3079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9F9E739A-A4D8-45CA-A225-55A3C32C82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97644857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3</xdr:col>
      <xdr:colOff>954015</xdr:colOff>
      <xdr:row>391</xdr:row>
      <xdr:rowOff>3080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0534385-A41E-4A74-AAE5-B54AEDA162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05781929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3</xdr:col>
      <xdr:colOff>954015</xdr:colOff>
      <xdr:row>421</xdr:row>
      <xdr:rowOff>3080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842E3E6E-5C07-479E-9696-A2D3049CB7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13919000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3</xdr:col>
      <xdr:colOff>954015</xdr:colOff>
      <xdr:row>451</xdr:row>
      <xdr:rowOff>3079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DA6A98B8-893E-43FB-AACB-2CEC186D40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22056071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3</xdr:col>
      <xdr:colOff>954015</xdr:colOff>
      <xdr:row>481</xdr:row>
      <xdr:rowOff>3080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519D0805-0050-46C5-8DA3-D779D8B6EC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30193143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3</xdr:col>
      <xdr:colOff>954015</xdr:colOff>
      <xdr:row>511</xdr:row>
      <xdr:rowOff>3079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8B5CF4C1-EACF-49EC-9A4E-BFCB0CA02F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38330214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3</xdr:col>
      <xdr:colOff>954015</xdr:colOff>
      <xdr:row>541</xdr:row>
      <xdr:rowOff>3080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BF54542F-AD1A-443F-930B-647C2ADDDE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46467286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3</xdr:col>
      <xdr:colOff>954015</xdr:colOff>
      <xdr:row>571</xdr:row>
      <xdr:rowOff>3079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8511C6DF-022E-403D-9DE7-8CC1A6DF81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54604357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3</xdr:col>
      <xdr:colOff>954015</xdr:colOff>
      <xdr:row>601</xdr:row>
      <xdr:rowOff>3080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7E9AB5DD-81AA-4E14-84A0-EE16E8EAF7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62741429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3</xdr:col>
      <xdr:colOff>954015</xdr:colOff>
      <xdr:row>631</xdr:row>
      <xdr:rowOff>3080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CB331217-340B-4C08-939D-C8C2A2C01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70878500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3</xdr:col>
      <xdr:colOff>954015</xdr:colOff>
      <xdr:row>661</xdr:row>
      <xdr:rowOff>3079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AAC0C51E-9ABC-4DBF-B0BA-B1010350F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79015571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3</xdr:col>
      <xdr:colOff>954015</xdr:colOff>
      <xdr:row>691</xdr:row>
      <xdr:rowOff>3080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42AA58A2-9CFC-4C02-A3EC-200E87C02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87152643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3</xdr:col>
      <xdr:colOff>954015</xdr:colOff>
      <xdr:row>721</xdr:row>
      <xdr:rowOff>3079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A2345870-E02A-457B-AA33-297CAC7E9E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195289714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3</xdr:col>
      <xdr:colOff>954015</xdr:colOff>
      <xdr:row>751</xdr:row>
      <xdr:rowOff>3080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68637939-D7BF-4D2D-801C-6A2A4A322A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03426786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3</xdr:col>
      <xdr:colOff>954015</xdr:colOff>
      <xdr:row>781</xdr:row>
      <xdr:rowOff>3079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B5DFE677-E03D-40AF-8142-00FC7AB28B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11563857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3</xdr:col>
      <xdr:colOff>954015</xdr:colOff>
      <xdr:row>811</xdr:row>
      <xdr:rowOff>3080</xdr:rowOff>
    </xdr:to>
    <xdr:pic>
      <xdr:nvPicPr>
        <xdr:cNvPr id="30" name="Grafik 29">
          <a:extLst>
            <a:ext uri="{FF2B5EF4-FFF2-40B4-BE49-F238E27FC236}">
              <a16:creationId xmlns:a16="http://schemas.microsoft.com/office/drawing/2014/main" id="{7C0032B9-3496-4B59-9719-BC75F2EEF0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19700929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3</xdr:col>
      <xdr:colOff>954015</xdr:colOff>
      <xdr:row>841</xdr:row>
      <xdr:rowOff>3080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B373A0EC-C29F-4871-B4F5-E9359C0DD1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27838000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3</xdr:col>
      <xdr:colOff>954015</xdr:colOff>
      <xdr:row>871</xdr:row>
      <xdr:rowOff>3079</xdr:rowOff>
    </xdr:to>
    <xdr:pic>
      <xdr:nvPicPr>
        <xdr:cNvPr id="32" name="Grafik 31">
          <a:extLst>
            <a:ext uri="{FF2B5EF4-FFF2-40B4-BE49-F238E27FC236}">
              <a16:creationId xmlns:a16="http://schemas.microsoft.com/office/drawing/2014/main" id="{02783481-9AC9-4A99-ACE2-7AC6E98510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35975071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3</xdr:col>
      <xdr:colOff>954015</xdr:colOff>
      <xdr:row>901</xdr:row>
      <xdr:rowOff>3080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732DFCCC-30D5-4287-B933-D375490EDB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44112143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3</xdr:col>
      <xdr:colOff>954015</xdr:colOff>
      <xdr:row>931</xdr:row>
      <xdr:rowOff>3079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BA8E1D0F-E4E3-4512-A6DD-2D1EF5D090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52249214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3</xdr:col>
      <xdr:colOff>954015</xdr:colOff>
      <xdr:row>961</xdr:row>
      <xdr:rowOff>3080</xdr:rowOff>
    </xdr:to>
    <xdr:pic>
      <xdr:nvPicPr>
        <xdr:cNvPr id="35" name="Grafik 34">
          <a:extLst>
            <a:ext uri="{FF2B5EF4-FFF2-40B4-BE49-F238E27FC236}">
              <a16:creationId xmlns:a16="http://schemas.microsoft.com/office/drawing/2014/main" id="{3200AA28-FD69-4E32-8550-6AD63A3FAC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60386286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3</xdr:col>
      <xdr:colOff>954015</xdr:colOff>
      <xdr:row>991</xdr:row>
      <xdr:rowOff>3079</xdr:rowOff>
    </xdr:to>
    <xdr:pic>
      <xdr:nvPicPr>
        <xdr:cNvPr id="36" name="Grafik 35">
          <a:extLst>
            <a:ext uri="{FF2B5EF4-FFF2-40B4-BE49-F238E27FC236}">
              <a16:creationId xmlns:a16="http://schemas.microsoft.com/office/drawing/2014/main" id="{D7C461DB-B4D8-4976-ADE9-CE81722DB6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68523357"/>
          <a:ext cx="2423586" cy="6154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3</xdr:col>
      <xdr:colOff>954015</xdr:colOff>
      <xdr:row>1021</xdr:row>
      <xdr:rowOff>3080</xdr:rowOff>
    </xdr:to>
    <xdr:pic>
      <xdr:nvPicPr>
        <xdr:cNvPr id="37" name="Grafik 36">
          <a:extLst>
            <a:ext uri="{FF2B5EF4-FFF2-40B4-BE49-F238E27FC236}">
              <a16:creationId xmlns:a16="http://schemas.microsoft.com/office/drawing/2014/main" id="{EF4A3A95-B6A7-48E3-9141-36511E6DB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62" r="2962"/>
        <a:stretch>
          <a:fillRect/>
        </a:stretch>
      </xdr:blipFill>
      <xdr:spPr>
        <a:xfrm>
          <a:off x="0" y="276660429"/>
          <a:ext cx="2423586" cy="6154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3-jo\OneDrive\Dokumente\Schlauchmanegtment%20App\alt-XLSX-Muster.xlsx" TargetMode="External"/><Relationship Id="rId1" Type="http://schemas.openxmlformats.org/officeDocument/2006/relationships/externalLinkPath" Target="alt-XLSX-Mu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Auswahlseite"/>
    </sheetNames>
    <sheetDataSet>
      <sheetData sheetId="0">
        <row r="2">
          <cell r="AF2" t="str">
            <v xml:space="preserve">SFL3 2/1/2" </v>
          </cell>
        </row>
        <row r="3">
          <cell r="AF3" t="str">
            <v>SFL3 2/1/2" 90°</v>
          </cell>
        </row>
        <row r="4">
          <cell r="AF4" t="str">
            <v>SFL3 2/1/2" 45°</v>
          </cell>
        </row>
        <row r="31">
          <cell r="AF31" t="str">
            <v>NW63</v>
          </cell>
        </row>
        <row r="32">
          <cell r="AF32" t="str">
            <v xml:space="preserve">SFL3 2/1/2" </v>
          </cell>
        </row>
        <row r="33">
          <cell r="AF33" t="str">
            <v>SFL3 2/1/2" 90°</v>
          </cell>
        </row>
        <row r="34">
          <cell r="AF34" t="str">
            <v>SFL3 2/1/2" 45°</v>
          </cell>
        </row>
        <row r="61">
          <cell r="AF61" t="str">
            <v>NW63</v>
          </cell>
        </row>
        <row r="62">
          <cell r="AF62" t="str">
            <v xml:space="preserve">SFL3 2/1/2" </v>
          </cell>
        </row>
        <row r="63">
          <cell r="AF63" t="str">
            <v>SFL3 2/1/2" 90°</v>
          </cell>
        </row>
        <row r="64">
          <cell r="AF64" t="str">
            <v>SFL3 2/1/2" 45°</v>
          </cell>
        </row>
        <row r="91">
          <cell r="AF91" t="str">
            <v>NW63</v>
          </cell>
        </row>
        <row r="92">
          <cell r="AF92" t="str">
            <v xml:space="preserve">SFL3 2/1/2" </v>
          </cell>
        </row>
        <row r="93">
          <cell r="AF93" t="str">
            <v>SFL3 2/1/2" 90°</v>
          </cell>
        </row>
        <row r="94">
          <cell r="AF94" t="str">
            <v>SFL3 2/1/2" 45°</v>
          </cell>
        </row>
      </sheetData>
      <sheetData sheetId="1">
        <row r="1">
          <cell r="A1" t="str">
            <v>1SN</v>
          </cell>
        </row>
        <row r="2">
          <cell r="A2" t="str">
            <v>2SN</v>
          </cell>
        </row>
        <row r="3">
          <cell r="A3" t="str">
            <v>4SP</v>
          </cell>
        </row>
        <row r="4">
          <cell r="A4" t="str">
            <v>4SH</v>
          </cell>
          <cell r="I4" t="str">
            <v>DKOL6-6L</v>
          </cell>
          <cell r="J4">
            <v>315</v>
          </cell>
        </row>
        <row r="5">
          <cell r="A5" t="str">
            <v>R13</v>
          </cell>
          <cell r="I5" t="str">
            <v>DKOL6-6L-90°</v>
          </cell>
          <cell r="J5">
            <v>315</v>
          </cell>
        </row>
        <row r="6">
          <cell r="A6" t="str">
            <v>R15</v>
          </cell>
          <cell r="I6" t="str">
            <v>DKOL6-6L-45°</v>
          </cell>
          <cell r="J6">
            <v>315</v>
          </cell>
        </row>
        <row r="7">
          <cell r="A7">
            <v>462</v>
          </cell>
          <cell r="I7" t="str">
            <v>DKOL6-8L</v>
          </cell>
          <cell r="J7">
            <v>315</v>
          </cell>
        </row>
        <row r="8">
          <cell r="A8" t="str">
            <v>1TE</v>
          </cell>
          <cell r="I8" t="str">
            <v>DKOL6-8L-90°</v>
          </cell>
          <cell r="J8">
            <v>315</v>
          </cell>
        </row>
        <row r="9">
          <cell r="A9" t="str">
            <v>2TE</v>
          </cell>
          <cell r="I9" t="str">
            <v>DKOL6-8L-45°</v>
          </cell>
          <cell r="J9">
            <v>315</v>
          </cell>
        </row>
        <row r="10">
          <cell r="A10" t="str">
            <v>3TE</v>
          </cell>
          <cell r="I10" t="str">
            <v>DKOL6-10L</v>
          </cell>
          <cell r="J10">
            <v>315</v>
          </cell>
        </row>
        <row r="11">
          <cell r="A11" t="str">
            <v>Minimess</v>
          </cell>
          <cell r="I11" t="str">
            <v>DKOL6-10L-90°</v>
          </cell>
          <cell r="J11">
            <v>315</v>
          </cell>
        </row>
        <row r="12">
          <cell r="A12" t="str">
            <v>Teflon</v>
          </cell>
          <cell r="I12" t="str">
            <v>DKOL6-10L-45°</v>
          </cell>
          <cell r="J12">
            <v>315</v>
          </cell>
        </row>
        <row r="13">
          <cell r="A13" t="str">
            <v>R4</v>
          </cell>
          <cell r="I13" t="str">
            <v>DKOL8-10L</v>
          </cell>
          <cell r="J13">
            <v>315</v>
          </cell>
        </row>
        <row r="14">
          <cell r="A14" t="str">
            <v>2245N</v>
          </cell>
          <cell r="I14" t="str">
            <v>DKOL8-10L-90°</v>
          </cell>
          <cell r="J14">
            <v>315</v>
          </cell>
        </row>
        <row r="15">
          <cell r="I15" t="str">
            <v>DKOL8-10L-45°</v>
          </cell>
          <cell r="J15">
            <v>315</v>
          </cell>
        </row>
        <row r="16">
          <cell r="I16" t="str">
            <v>DKOL8-12L</v>
          </cell>
          <cell r="J16">
            <v>315</v>
          </cell>
        </row>
        <row r="17">
          <cell r="I17" t="str">
            <v>DKOL10-12L</v>
          </cell>
          <cell r="J17">
            <v>315</v>
          </cell>
        </row>
        <row r="18">
          <cell r="I18" t="str">
            <v>DKOL10-12L-90°</v>
          </cell>
          <cell r="J18">
            <v>315</v>
          </cell>
        </row>
        <row r="19">
          <cell r="I19" t="str">
            <v>DKOL10-12L-45°</v>
          </cell>
          <cell r="J19">
            <v>315</v>
          </cell>
        </row>
        <row r="20">
          <cell r="I20" t="str">
            <v>DKOL10-15L</v>
          </cell>
          <cell r="J20">
            <v>315</v>
          </cell>
        </row>
        <row r="21">
          <cell r="I21" t="str">
            <v>DKOL12-15L</v>
          </cell>
          <cell r="J21">
            <v>315</v>
          </cell>
        </row>
        <row r="22">
          <cell r="I22" t="str">
            <v>DKOL12-15L-90°</v>
          </cell>
          <cell r="J22">
            <v>315</v>
          </cell>
        </row>
        <row r="23">
          <cell r="I23" t="str">
            <v>DKOL12-15L-45°</v>
          </cell>
          <cell r="J23">
            <v>315</v>
          </cell>
        </row>
        <row r="24">
          <cell r="I24" t="str">
            <v>DKOL16-18L</v>
          </cell>
          <cell r="J24">
            <v>315</v>
          </cell>
        </row>
        <row r="25">
          <cell r="I25" t="str">
            <v>DKOL16-18L-90°</v>
          </cell>
          <cell r="J25">
            <v>315</v>
          </cell>
        </row>
        <row r="26">
          <cell r="I26" t="str">
            <v>DKOL16-18L-45°</v>
          </cell>
          <cell r="J26">
            <v>315</v>
          </cell>
        </row>
        <row r="27">
          <cell r="I27" t="str">
            <v>DKOL20-22L</v>
          </cell>
          <cell r="J27">
            <v>160</v>
          </cell>
        </row>
        <row r="28">
          <cell r="I28" t="str">
            <v>DKOL20-22L-90°</v>
          </cell>
          <cell r="J28">
            <v>160</v>
          </cell>
        </row>
        <row r="29">
          <cell r="I29" t="str">
            <v>DKOL20-22L-45°</v>
          </cell>
          <cell r="J29">
            <v>160</v>
          </cell>
        </row>
        <row r="30">
          <cell r="I30" t="str">
            <v>DKOL25-28L</v>
          </cell>
          <cell r="J30">
            <v>160</v>
          </cell>
        </row>
        <row r="31">
          <cell r="I31" t="str">
            <v>DKOL25-28L-90°</v>
          </cell>
          <cell r="J31">
            <v>160</v>
          </cell>
        </row>
        <row r="32">
          <cell r="I32" t="str">
            <v>DKOL25-28L-45°</v>
          </cell>
          <cell r="J32">
            <v>160</v>
          </cell>
        </row>
        <row r="33">
          <cell r="I33" t="str">
            <v>DKOL32-35L</v>
          </cell>
          <cell r="J33">
            <v>160</v>
          </cell>
        </row>
        <row r="34">
          <cell r="I34" t="str">
            <v>DKOL32-35L-90°</v>
          </cell>
          <cell r="J34">
            <v>160</v>
          </cell>
        </row>
        <row r="35">
          <cell r="I35" t="str">
            <v>DKOL32-35L-45°</v>
          </cell>
          <cell r="J35">
            <v>160</v>
          </cell>
        </row>
        <row r="36">
          <cell r="I36" t="str">
            <v>DKOL40-42L</v>
          </cell>
          <cell r="J36">
            <v>160</v>
          </cell>
        </row>
        <row r="37">
          <cell r="I37" t="str">
            <v>DKOL40-42L-90°</v>
          </cell>
          <cell r="J37">
            <v>160</v>
          </cell>
        </row>
        <row r="38">
          <cell r="I38" t="str">
            <v>DKOL40-42L-45°</v>
          </cell>
          <cell r="J38">
            <v>160</v>
          </cell>
        </row>
        <row r="39">
          <cell r="I39" t="str">
            <v>DKOS6-6S</v>
          </cell>
          <cell r="J39">
            <v>630</v>
          </cell>
        </row>
        <row r="40">
          <cell r="I40" t="str">
            <v>DKOS6-6S-90°</v>
          </cell>
          <cell r="J40">
            <v>630</v>
          </cell>
        </row>
        <row r="41">
          <cell r="I41" t="str">
            <v>DKOS6-6S-45°</v>
          </cell>
          <cell r="J41">
            <v>630</v>
          </cell>
        </row>
        <row r="42">
          <cell r="I42" t="str">
            <v>DKOS6-8S</v>
          </cell>
          <cell r="J42">
            <v>630</v>
          </cell>
        </row>
        <row r="43">
          <cell r="I43" t="str">
            <v>DKOS6-8S-90°</v>
          </cell>
          <cell r="J43">
            <v>630</v>
          </cell>
        </row>
        <row r="44">
          <cell r="I44" t="str">
            <v>DKOS6-8S-45°</v>
          </cell>
          <cell r="J44">
            <v>630</v>
          </cell>
        </row>
        <row r="45">
          <cell r="I45" t="str">
            <v>DKOS6-10S</v>
          </cell>
          <cell r="J45">
            <v>630</v>
          </cell>
        </row>
        <row r="46">
          <cell r="I46" t="str">
            <v>DKOS6-10S-90°</v>
          </cell>
          <cell r="J46">
            <v>630</v>
          </cell>
        </row>
        <row r="47">
          <cell r="I47" t="str">
            <v>DKOS6-10S-45°</v>
          </cell>
          <cell r="J47">
            <v>630</v>
          </cell>
        </row>
        <row r="48">
          <cell r="I48" t="str">
            <v>DKOS8-10S</v>
          </cell>
          <cell r="J48">
            <v>630</v>
          </cell>
        </row>
        <row r="49">
          <cell r="I49" t="str">
            <v>DKOS8-10S-90°</v>
          </cell>
          <cell r="J49">
            <v>630</v>
          </cell>
        </row>
        <row r="50">
          <cell r="I50" t="str">
            <v>DKOS8-10S-45°</v>
          </cell>
          <cell r="J50">
            <v>630</v>
          </cell>
        </row>
        <row r="51">
          <cell r="I51" t="str">
            <v>DKOS8-12S</v>
          </cell>
          <cell r="J51">
            <v>630</v>
          </cell>
        </row>
        <row r="52">
          <cell r="I52" t="str">
            <v>DKOS8-12S-90°</v>
          </cell>
          <cell r="J52">
            <v>630</v>
          </cell>
        </row>
        <row r="53">
          <cell r="I53" t="str">
            <v>DKOS8-12S-45°</v>
          </cell>
          <cell r="J53">
            <v>630</v>
          </cell>
        </row>
        <row r="54">
          <cell r="I54" t="str">
            <v>DKOS10-12S</v>
          </cell>
          <cell r="J54">
            <v>630</v>
          </cell>
        </row>
        <row r="55">
          <cell r="I55" t="str">
            <v>DKOS10-12S-90°</v>
          </cell>
          <cell r="J55">
            <v>630</v>
          </cell>
        </row>
        <row r="56">
          <cell r="I56" t="str">
            <v>DKOS10-12S-45°</v>
          </cell>
          <cell r="J56">
            <v>630</v>
          </cell>
        </row>
        <row r="57">
          <cell r="I57" t="str">
            <v>DKOS10-14S</v>
          </cell>
          <cell r="J57">
            <v>0</v>
          </cell>
        </row>
        <row r="58">
          <cell r="I58" t="str">
            <v>DKOS10-14S-90°</v>
          </cell>
          <cell r="J58">
            <v>0</v>
          </cell>
        </row>
        <row r="59">
          <cell r="I59" t="str">
            <v>DKOS10-14S-45°</v>
          </cell>
          <cell r="J59">
            <v>0</v>
          </cell>
        </row>
        <row r="60">
          <cell r="I60" t="str">
            <v>DKOS12-16S</v>
          </cell>
          <cell r="J60">
            <v>400</v>
          </cell>
        </row>
        <row r="61">
          <cell r="I61" t="str">
            <v>DKOS12-16S-90°</v>
          </cell>
          <cell r="J61">
            <v>400</v>
          </cell>
        </row>
        <row r="62">
          <cell r="I62" t="str">
            <v>DKOS12-16S-45°</v>
          </cell>
          <cell r="J62">
            <v>400</v>
          </cell>
        </row>
        <row r="63">
          <cell r="I63" t="str">
            <v>DKOS16-20S</v>
          </cell>
          <cell r="J63">
            <v>400</v>
          </cell>
        </row>
        <row r="64">
          <cell r="I64" t="str">
            <v>DKOS16-20S-90°</v>
          </cell>
          <cell r="J64">
            <v>400</v>
          </cell>
        </row>
        <row r="65">
          <cell r="I65" t="str">
            <v>DKOS16-20S-45°</v>
          </cell>
          <cell r="J65">
            <v>400</v>
          </cell>
        </row>
        <row r="66">
          <cell r="I66" t="str">
            <v>DKOS20-25S</v>
          </cell>
          <cell r="J66">
            <v>400</v>
          </cell>
        </row>
        <row r="67">
          <cell r="I67" t="str">
            <v>DKOS20-25S-90°</v>
          </cell>
          <cell r="J67">
            <v>400</v>
          </cell>
        </row>
        <row r="68">
          <cell r="I68" t="str">
            <v>DKOS20-25S-45°</v>
          </cell>
          <cell r="J68">
            <v>400</v>
          </cell>
        </row>
        <row r="69">
          <cell r="I69" t="str">
            <v>DKOS25-30S</v>
          </cell>
          <cell r="J69">
            <v>250</v>
          </cell>
        </row>
        <row r="70">
          <cell r="I70" t="str">
            <v>DKOS25-30S-90°</v>
          </cell>
          <cell r="J70">
            <v>250</v>
          </cell>
        </row>
        <row r="71">
          <cell r="I71" t="str">
            <v>DKOS25-30S-45°</v>
          </cell>
          <cell r="J71">
            <v>250</v>
          </cell>
        </row>
        <row r="72">
          <cell r="I72" t="str">
            <v>DKOS32-38S</v>
          </cell>
          <cell r="J72">
            <v>250</v>
          </cell>
        </row>
        <row r="73">
          <cell r="I73" t="str">
            <v>DKOS32-38S-90</v>
          </cell>
          <cell r="J73">
            <v>250</v>
          </cell>
        </row>
        <row r="74">
          <cell r="I74" t="str">
            <v>DKOS32-38S-45°</v>
          </cell>
          <cell r="J74">
            <v>250</v>
          </cell>
        </row>
        <row r="75">
          <cell r="I75" t="str">
            <v>1C9NX-12-05</v>
          </cell>
          <cell r="J75">
            <v>0</v>
          </cell>
        </row>
        <row r="76">
          <cell r="I76" t="str">
            <v xml:space="preserve">10CNX-12-05 </v>
          </cell>
          <cell r="J76">
            <v>0</v>
          </cell>
        </row>
        <row r="77">
          <cell r="I77" t="str">
            <v>11CNX-12-05</v>
          </cell>
          <cell r="J77">
            <v>0</v>
          </cell>
        </row>
        <row r="78">
          <cell r="I78" t="str">
            <v>1C9NX-14-06</v>
          </cell>
          <cell r="J78">
            <v>0</v>
          </cell>
        </row>
        <row r="79">
          <cell r="I79" t="str">
            <v>10CNX-14-06</v>
          </cell>
          <cell r="J79">
            <v>0</v>
          </cell>
        </row>
        <row r="80">
          <cell r="I80" t="str">
            <v>11CNX-14-06</v>
          </cell>
          <cell r="J8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DCC24-63AB-4638-9211-5CF48FAD9B46}">
  <dimension ref="A1:AN1050"/>
  <sheetViews>
    <sheetView tabSelected="1" topLeftCell="A140" zoomScale="90" zoomScaleNormal="90" workbookViewId="0">
      <selection activeCell="B35" sqref="B35"/>
    </sheetView>
  </sheetViews>
  <sheetFormatPr baseColWidth="10" defaultRowHeight="15"/>
  <cols>
    <col min="1" max="1" width="6.5703125" style="32" customWidth="1"/>
    <col min="2" max="2" width="10.42578125" style="32" customWidth="1"/>
    <col min="3" max="3" width="5.140625" style="32" customWidth="1"/>
    <col min="4" max="4" width="23.5703125" style="32" customWidth="1"/>
    <col min="5" max="5" width="22.7109375" style="33" customWidth="1"/>
    <col min="6" max="6" width="7.28515625" style="33" customWidth="1"/>
    <col min="7" max="7" width="6.5703125" style="33" customWidth="1"/>
    <col min="8" max="8" width="6.5703125" style="32" customWidth="1"/>
    <col min="9" max="9" width="6.140625" customWidth="1"/>
    <col min="10" max="10" width="7.28515625" style="34" customWidth="1"/>
    <col min="11" max="11" width="11.5703125" customWidth="1"/>
    <col min="12" max="12" width="7.28515625" style="34" customWidth="1"/>
    <col min="13" max="13" width="10.7109375" style="35" customWidth="1"/>
    <col min="14" max="14" width="7.7109375" style="36" customWidth="1"/>
    <col min="15" max="16" width="7.7109375" style="34" customWidth="1"/>
    <col min="17" max="18" width="17" customWidth="1"/>
    <col min="19" max="19" width="15.7109375" hidden="1" customWidth="1"/>
    <col min="20" max="20" width="7" hidden="1" customWidth="1"/>
    <col min="21" max="22" width="14.42578125" hidden="1" customWidth="1"/>
    <col min="23" max="24" width="15.42578125" hidden="1" customWidth="1"/>
    <col min="25" max="25" width="16.5703125" hidden="1" customWidth="1"/>
    <col min="26" max="26" width="26.28515625" hidden="1" customWidth="1"/>
    <col min="27" max="27" width="22.5703125" hidden="1" customWidth="1"/>
    <col min="28" max="29" width="16.7109375" hidden="1" customWidth="1"/>
    <col min="30" max="30" width="15.7109375" hidden="1" customWidth="1"/>
    <col min="31" max="31" width="13.28515625" hidden="1" customWidth="1"/>
    <col min="32" max="32" width="14" hidden="1" customWidth="1"/>
    <col min="33" max="33" width="26.140625" hidden="1" customWidth="1"/>
    <col min="37" max="37" width="21" customWidth="1"/>
  </cols>
  <sheetData>
    <row r="1" spans="1:40" ht="48" customHeight="1">
      <c r="A1" s="69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1" t="s">
        <v>1</v>
      </c>
      <c r="M1" s="71"/>
      <c r="N1" s="71"/>
      <c r="O1" s="71"/>
      <c r="P1" s="71"/>
      <c r="Q1" s="1" t="s">
        <v>2</v>
      </c>
      <c r="R1" s="2" t="s">
        <v>3</v>
      </c>
      <c r="S1" s="3"/>
      <c r="T1" s="3" t="s">
        <v>4</v>
      </c>
      <c r="U1" s="4" t="s">
        <v>5</v>
      </c>
      <c r="V1" s="4" t="s">
        <v>6</v>
      </c>
      <c r="W1" s="4" t="s">
        <v>7</v>
      </c>
      <c r="X1" s="4" t="s">
        <v>8</v>
      </c>
      <c r="Y1" s="4" t="s">
        <v>9</v>
      </c>
      <c r="Z1" s="4"/>
      <c r="AA1" s="4" t="s">
        <v>10</v>
      </c>
      <c r="AB1" s="4" t="s">
        <v>11</v>
      </c>
      <c r="AC1" s="4" t="s">
        <v>12</v>
      </c>
      <c r="AD1" s="4" t="s">
        <v>13</v>
      </c>
      <c r="AE1" s="4" t="s">
        <v>14</v>
      </c>
      <c r="AF1" s="4" t="s">
        <v>15</v>
      </c>
    </row>
    <row r="2" spans="1:40" s="8" customFormat="1" ht="18" customHeight="1">
      <c r="A2" s="5" t="s">
        <v>16</v>
      </c>
      <c r="B2" s="44"/>
      <c r="C2" s="45"/>
      <c r="D2" s="45"/>
      <c r="E2" s="6" t="s">
        <v>17</v>
      </c>
      <c r="F2" s="72" t="s">
        <v>18</v>
      </c>
      <c r="G2" s="74" t="s">
        <v>19</v>
      </c>
      <c r="H2" s="74" t="s">
        <v>20</v>
      </c>
      <c r="I2" s="86" t="s">
        <v>21</v>
      </c>
      <c r="J2" s="62" t="s">
        <v>22</v>
      </c>
      <c r="K2" s="79" t="s">
        <v>23</v>
      </c>
      <c r="L2" s="62" t="s">
        <v>24</v>
      </c>
      <c r="M2" s="56" t="s">
        <v>25</v>
      </c>
      <c r="N2" s="59" t="s">
        <v>26</v>
      </c>
      <c r="O2" s="62" t="s">
        <v>27</v>
      </c>
      <c r="P2" s="65" t="s">
        <v>28</v>
      </c>
      <c r="Q2" s="66" t="s">
        <v>29</v>
      </c>
      <c r="R2" s="68" t="s">
        <v>30</v>
      </c>
      <c r="S2"/>
      <c r="T2" s="7" t="str">
        <f>IF(C35&gt;18,IF(C35=20,Nennweite20,IF(C35=60,U4,IF(C35=50,Nennweite50,IF(C35=25,Nennweite25,IF(C35=32,Nennweite32,IF(C35=40,Nennweite40,"&gt;")))))),IF(C35=8,Nennweite8,IF(C35=6,Nennweite6,IF(C35=10,Nennweite10,IF(C35=18,Nennweite18,IF(C35=16,Nennweite16,IF(C35=12,Nennweite12,"")))))))</f>
        <v/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/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</row>
    <row r="3" spans="1:40" ht="18" customHeight="1">
      <c r="A3" s="5" t="s">
        <v>42</v>
      </c>
      <c r="B3" s="44"/>
      <c r="C3" s="45"/>
      <c r="D3" s="45"/>
      <c r="E3" s="46"/>
      <c r="F3" s="72"/>
      <c r="G3" s="75"/>
      <c r="H3" s="75"/>
      <c r="I3" s="77"/>
      <c r="J3" s="63"/>
      <c r="K3" s="80"/>
      <c r="L3" s="63"/>
      <c r="M3" s="57"/>
      <c r="N3" s="60"/>
      <c r="O3" s="63"/>
      <c r="P3" s="63"/>
      <c r="Q3" s="66"/>
      <c r="R3" s="66"/>
      <c r="U3" t="s">
        <v>43</v>
      </c>
      <c r="V3" t="s">
        <v>44</v>
      </c>
      <c r="W3" t="s">
        <v>45</v>
      </c>
      <c r="X3" t="s">
        <v>46</v>
      </c>
      <c r="Y3" t="s">
        <v>47</v>
      </c>
      <c r="AA3" t="s">
        <v>48</v>
      </c>
      <c r="AB3" t="s">
        <v>49</v>
      </c>
      <c r="AC3" t="s">
        <v>50</v>
      </c>
      <c r="AD3" t="s">
        <v>51</v>
      </c>
      <c r="AE3" t="s">
        <v>52</v>
      </c>
      <c r="AF3" t="s">
        <v>53</v>
      </c>
    </row>
    <row r="4" spans="1:40" ht="18" customHeight="1" thickBot="1">
      <c r="A4" s="9" t="s">
        <v>54</v>
      </c>
      <c r="B4" s="10" t="s">
        <v>55</v>
      </c>
      <c r="C4" s="10" t="s">
        <v>56</v>
      </c>
      <c r="D4" s="11" t="s">
        <v>57</v>
      </c>
      <c r="E4" s="9" t="s">
        <v>58</v>
      </c>
      <c r="F4" s="73"/>
      <c r="G4" s="76"/>
      <c r="H4" s="76"/>
      <c r="I4" s="78"/>
      <c r="J4" s="64"/>
      <c r="K4" s="81"/>
      <c r="L4" s="64"/>
      <c r="M4" s="58"/>
      <c r="N4" s="61"/>
      <c r="O4" s="64"/>
      <c r="P4" s="64"/>
      <c r="Q4" s="67"/>
      <c r="R4" s="67"/>
      <c r="U4" t="s">
        <v>59</v>
      </c>
      <c r="V4" t="s">
        <v>60</v>
      </c>
      <c r="W4" t="s">
        <v>61</v>
      </c>
      <c r="X4" t="s">
        <v>62</v>
      </c>
      <c r="Y4" t="s">
        <v>63</v>
      </c>
      <c r="AA4" t="s">
        <v>64</v>
      </c>
      <c r="AB4" t="s">
        <v>65</v>
      </c>
      <c r="AC4" t="s">
        <v>66</v>
      </c>
      <c r="AD4" t="s">
        <v>67</v>
      </c>
      <c r="AE4" t="s">
        <v>68</v>
      </c>
      <c r="AF4" t="s">
        <v>69</v>
      </c>
    </row>
    <row r="5" spans="1:40" ht="22.15" customHeight="1">
      <c r="A5" s="12">
        <v>1</v>
      </c>
      <c r="B5" s="13"/>
      <c r="C5" s="13"/>
      <c r="D5" s="13"/>
      <c r="E5" s="13"/>
      <c r="F5" s="14"/>
      <c r="G5" s="15"/>
      <c r="H5" s="15"/>
      <c r="I5" s="24"/>
      <c r="J5" s="17"/>
      <c r="K5" s="18"/>
      <c r="L5" s="19"/>
      <c r="M5" s="20"/>
      <c r="N5" s="21"/>
      <c r="O5" s="22"/>
      <c r="P5" s="22"/>
      <c r="Q5" s="23"/>
      <c r="R5" s="24"/>
      <c r="AH5" s="16"/>
      <c r="AI5" s="16"/>
      <c r="AJ5" s="16"/>
      <c r="AK5" s="25" t="str">
        <f>IF(D5="","",TRIM(D5))</f>
        <v/>
      </c>
      <c r="AL5" s="25" t="str">
        <f>IF(AK5="", "", _xlfn.XLOOKUP(AK5, [1]Auswahlseite!$I$4:$I$500, [1]Auswahlseite!$J$4:$J$500, "Nicht gefunden", 2))</f>
        <v/>
      </c>
      <c r="AM5" t="str">
        <f>IF(E5="","",TRIM(E5))</f>
        <v/>
      </c>
      <c r="AN5" s="16" t="str">
        <f>IF(AM5="", "", _xlfn.XLOOKUP(AM5, [1]Auswahlseite!$I$4:$I$500, [1]Auswahlseite!$J$4:$J$500, "Nicht gefunden"))</f>
        <v/>
      </c>
    </row>
    <row r="6" spans="1:40" ht="22.15" customHeight="1">
      <c r="A6" s="23">
        <v>2</v>
      </c>
      <c r="B6" s="13"/>
      <c r="C6" s="13"/>
      <c r="D6" s="13"/>
      <c r="E6" s="13"/>
      <c r="F6" s="14"/>
      <c r="G6" s="15"/>
      <c r="H6" s="15"/>
      <c r="I6" s="24"/>
      <c r="J6" s="17"/>
      <c r="K6" s="18"/>
      <c r="L6" s="19"/>
      <c r="M6" s="20"/>
      <c r="N6" s="21"/>
      <c r="O6" s="22"/>
      <c r="P6" s="22"/>
      <c r="Q6" s="23"/>
      <c r="R6" s="24"/>
      <c r="U6" t="s">
        <v>70</v>
      </c>
      <c r="V6" t="s">
        <v>71</v>
      </c>
      <c r="W6" t="s">
        <v>72</v>
      </c>
      <c r="X6" t="s">
        <v>73</v>
      </c>
      <c r="Y6" t="s">
        <v>74</v>
      </c>
      <c r="AA6" t="s">
        <v>75</v>
      </c>
      <c r="AB6" t="s">
        <v>76</v>
      </c>
      <c r="AC6" t="s">
        <v>77</v>
      </c>
      <c r="AD6" t="s">
        <v>78</v>
      </c>
      <c r="AE6" s="16" t="s">
        <v>79</v>
      </c>
      <c r="AH6" s="16"/>
      <c r="AJ6" s="16"/>
      <c r="AK6" s="25" t="str">
        <f t="shared" ref="AK6:AK24" si="0">IF(D6="","",TRIM(D6))</f>
        <v/>
      </c>
      <c r="AL6" s="25" t="str">
        <f>IF(AK6="", "", _xlfn.XLOOKUP(AK6, [1]Auswahlseite!$I$4:$I$500, [1]Auswahlseite!$J$4:$J$500, "Nicht gefunden", 2))</f>
        <v/>
      </c>
      <c r="AM6" t="str">
        <f t="shared" ref="AM6:AM24" si="1">IF(E6="","",TRIM(E6))</f>
        <v/>
      </c>
      <c r="AN6" s="16" t="str">
        <f>IF(AM6="", "", _xlfn.XLOOKUP(AM6, [1]Auswahlseite!$I$4:$I$500, [1]Auswahlseite!$J$4:$J$500, "Nicht gefunden"))</f>
        <v/>
      </c>
    </row>
    <row r="7" spans="1:40" ht="22.15" customHeight="1">
      <c r="A7" s="12">
        <v>3</v>
      </c>
      <c r="B7" s="13"/>
      <c r="C7" s="13"/>
      <c r="D7" s="13"/>
      <c r="E7" s="13"/>
      <c r="F7" s="14"/>
      <c r="G7" s="15"/>
      <c r="H7" s="15"/>
      <c r="I7" s="24"/>
      <c r="J7" s="17"/>
      <c r="K7" s="18"/>
      <c r="L7" s="19"/>
      <c r="M7" s="20"/>
      <c r="N7" s="21"/>
      <c r="O7" s="22"/>
      <c r="P7" s="22"/>
      <c r="Q7" s="23"/>
      <c r="R7" s="24"/>
      <c r="U7" t="s">
        <v>80</v>
      </c>
      <c r="X7" t="s">
        <v>81</v>
      </c>
      <c r="Y7" t="s">
        <v>82</v>
      </c>
      <c r="AA7" t="s">
        <v>83</v>
      </c>
      <c r="AB7" t="s">
        <v>84</v>
      </c>
      <c r="AC7" t="s">
        <v>85</v>
      </c>
      <c r="AD7" t="s">
        <v>86</v>
      </c>
      <c r="AE7" t="s">
        <v>87</v>
      </c>
      <c r="AH7" s="16"/>
      <c r="AJ7" s="16"/>
      <c r="AK7" s="25" t="str">
        <f t="shared" si="0"/>
        <v/>
      </c>
      <c r="AL7" s="25" t="str">
        <f>IF(AK7="", "", _xlfn.XLOOKUP(AK7, [1]Auswahlseite!$I$4:$I$500, [1]Auswahlseite!$J$4:$J$500, "Nicht gefunden", 2))</f>
        <v/>
      </c>
      <c r="AM7" t="str">
        <f t="shared" si="1"/>
        <v/>
      </c>
      <c r="AN7" s="16" t="str">
        <f>IF(AM7="", "", _xlfn.XLOOKUP(AM7, [1]Auswahlseite!$I$4:$I$500, [1]Auswahlseite!$J$4:$J$500, "Nicht gefunden"))</f>
        <v/>
      </c>
    </row>
    <row r="8" spans="1:40" ht="22.15" customHeight="1">
      <c r="A8" s="23">
        <v>4</v>
      </c>
      <c r="B8" s="12"/>
      <c r="C8" s="13"/>
      <c r="D8" s="13"/>
      <c r="E8" s="13"/>
      <c r="F8" s="14"/>
      <c r="G8" s="15"/>
      <c r="H8" s="15"/>
      <c r="I8" s="24"/>
      <c r="J8" s="17"/>
      <c r="K8" s="18"/>
      <c r="L8" s="19"/>
      <c r="M8" s="20"/>
      <c r="N8" s="21"/>
      <c r="O8" s="22"/>
      <c r="P8" s="22"/>
      <c r="Q8" s="23"/>
      <c r="R8" s="24"/>
      <c r="U8" t="s">
        <v>88</v>
      </c>
      <c r="V8" t="s">
        <v>89</v>
      </c>
      <c r="W8" t="s">
        <v>90</v>
      </c>
      <c r="X8" t="s">
        <v>91</v>
      </c>
      <c r="Y8" t="s">
        <v>92</v>
      </c>
      <c r="AA8" t="s">
        <v>93</v>
      </c>
      <c r="AB8" t="s">
        <v>94</v>
      </c>
      <c r="AC8" t="s">
        <v>95</v>
      </c>
      <c r="AD8" t="s">
        <v>96</v>
      </c>
      <c r="AE8" s="16" t="s">
        <v>97</v>
      </c>
      <c r="AH8" s="16"/>
      <c r="AJ8" s="16"/>
      <c r="AK8" s="25" t="str">
        <f t="shared" si="0"/>
        <v/>
      </c>
      <c r="AL8" s="25" t="str">
        <f>IF(AK8="", "", _xlfn.XLOOKUP(AK8, [1]Auswahlseite!$I$4:$I$500, [1]Auswahlseite!$J$4:$J$500, "Nicht gefunden", 2))</f>
        <v/>
      </c>
      <c r="AM8" t="str">
        <f t="shared" si="1"/>
        <v/>
      </c>
      <c r="AN8" s="16" t="str">
        <f>IF(AM8="", "", _xlfn.XLOOKUP(AM8, [1]Auswahlseite!$I$4:$I$500, [1]Auswahlseite!$J$4:$J$500, "Nicht gefunden"))</f>
        <v/>
      </c>
    </row>
    <row r="9" spans="1:40" ht="22.15" customHeight="1">
      <c r="A9" s="23">
        <v>5</v>
      </c>
      <c r="B9" s="12"/>
      <c r="C9" s="13"/>
      <c r="D9" s="13"/>
      <c r="E9" s="13"/>
      <c r="F9" s="14"/>
      <c r="G9" s="15"/>
      <c r="H9" s="15"/>
      <c r="I9" s="24"/>
      <c r="J9" s="17"/>
      <c r="K9" s="18"/>
      <c r="L9" s="19"/>
      <c r="M9" s="20"/>
      <c r="N9" s="21"/>
      <c r="O9" s="22"/>
      <c r="P9" s="22"/>
      <c r="Q9" s="23"/>
      <c r="R9" s="24"/>
      <c r="V9" t="s">
        <v>98</v>
      </c>
      <c r="W9" t="s">
        <v>99</v>
      </c>
      <c r="AJ9" s="16"/>
      <c r="AK9" s="25" t="str">
        <f t="shared" si="0"/>
        <v/>
      </c>
      <c r="AL9" s="25" t="str">
        <f>IF(AK9="", "", _xlfn.XLOOKUP(AK9, [1]Auswahlseite!$I$4:$I$500, [1]Auswahlseite!$J$4:$J$500, "Nicht gefunden", 2))</f>
        <v/>
      </c>
      <c r="AM9" t="str">
        <f t="shared" si="1"/>
        <v/>
      </c>
      <c r="AN9" s="16" t="str">
        <f>IF(AM9="", "", _xlfn.XLOOKUP(AM9, [1]Auswahlseite!$I$4:$I$500, [1]Auswahlseite!$J$4:$J$500, "Nicht gefunden"))</f>
        <v/>
      </c>
    </row>
    <row r="10" spans="1:40" ht="22.15" customHeight="1">
      <c r="A10" s="23">
        <v>6</v>
      </c>
      <c r="B10" s="12"/>
      <c r="C10" s="13"/>
      <c r="D10" s="13"/>
      <c r="E10" s="13"/>
      <c r="F10" s="14"/>
      <c r="G10" s="15"/>
      <c r="H10" s="15"/>
      <c r="I10" s="24"/>
      <c r="J10" s="17"/>
      <c r="K10" s="18"/>
      <c r="L10" s="19"/>
      <c r="M10" s="20"/>
      <c r="N10" s="21"/>
      <c r="O10" s="22"/>
      <c r="P10" s="22"/>
      <c r="Q10" s="23"/>
      <c r="R10" s="24"/>
      <c r="U10" t="s">
        <v>100</v>
      </c>
      <c r="V10" t="s">
        <v>101</v>
      </c>
      <c r="W10" t="s">
        <v>102</v>
      </c>
      <c r="X10" t="s">
        <v>103</v>
      </c>
      <c r="Y10" t="s">
        <v>103</v>
      </c>
      <c r="AA10" s="16" t="s">
        <v>104</v>
      </c>
      <c r="AB10" s="16" t="s">
        <v>105</v>
      </c>
      <c r="AC10" s="16" t="s">
        <v>106</v>
      </c>
      <c r="AD10" t="s">
        <v>40</v>
      </c>
      <c r="AE10" s="16" t="s">
        <v>107</v>
      </c>
      <c r="AJ10" s="16"/>
      <c r="AK10" s="25" t="str">
        <f t="shared" si="0"/>
        <v/>
      </c>
      <c r="AL10" s="25" t="str">
        <f>IF(AK10="", "", _xlfn.XLOOKUP(AK10, [1]Auswahlseite!$I$4:$I$500, [1]Auswahlseite!$J$4:$J$500, "Nicht gefunden", 2))</f>
        <v/>
      </c>
      <c r="AM10" t="str">
        <f t="shared" si="1"/>
        <v/>
      </c>
      <c r="AN10" s="16" t="str">
        <f>IF(AM10="", "", _xlfn.XLOOKUP(AM10, [1]Auswahlseite!$I$4:$I$500, [1]Auswahlseite!$J$4:$J$500, "Nicht gefunden"))</f>
        <v/>
      </c>
    </row>
    <row r="11" spans="1:40" ht="22.15" customHeight="1">
      <c r="A11" s="23">
        <v>7</v>
      </c>
      <c r="B11" s="12"/>
      <c r="C11" s="13"/>
      <c r="D11" s="13"/>
      <c r="E11" s="13"/>
      <c r="F11" s="14"/>
      <c r="G11" s="15"/>
      <c r="H11" s="15"/>
      <c r="I11" s="24"/>
      <c r="J11" s="17"/>
      <c r="K11" s="18"/>
      <c r="L11" s="19"/>
      <c r="M11" s="20"/>
      <c r="N11" s="21"/>
      <c r="O11" s="22"/>
      <c r="P11" s="22"/>
      <c r="Q11" s="23"/>
      <c r="R11" s="24"/>
      <c r="X11" t="s">
        <v>108</v>
      </c>
      <c r="Y11" t="s">
        <v>108</v>
      </c>
      <c r="AA11" s="16" t="s">
        <v>109</v>
      </c>
      <c r="AB11" s="16" t="s">
        <v>110</v>
      </c>
      <c r="AC11" s="16" t="s">
        <v>111</v>
      </c>
      <c r="AD11" t="s">
        <v>52</v>
      </c>
      <c r="AJ11" s="16"/>
      <c r="AK11" s="25" t="str">
        <f t="shared" si="0"/>
        <v/>
      </c>
      <c r="AL11" s="25" t="str">
        <f>IF(AK11="", "", _xlfn.XLOOKUP(AK11, [1]Auswahlseite!$I$4:$I$500, [1]Auswahlseite!$J$4:$J$500, "Nicht gefunden", 2))</f>
        <v/>
      </c>
      <c r="AM11" t="str">
        <f t="shared" si="1"/>
        <v/>
      </c>
      <c r="AN11" s="16" t="str">
        <f>IF(AM11="", "", _xlfn.XLOOKUP(AM11, [1]Auswahlseite!$I$4:$I$500, [1]Auswahlseite!$J$4:$J$500, "Nicht gefunden"))</f>
        <v/>
      </c>
    </row>
    <row r="12" spans="1:40" ht="22.15" customHeight="1">
      <c r="A12" s="23">
        <v>8</v>
      </c>
      <c r="B12" s="12"/>
      <c r="C12" s="13"/>
      <c r="D12" s="13"/>
      <c r="E12" s="13"/>
      <c r="F12" s="14"/>
      <c r="G12" s="15"/>
      <c r="H12" s="15"/>
      <c r="I12" s="24"/>
      <c r="J12" s="17"/>
      <c r="K12" s="18"/>
      <c r="L12" s="19"/>
      <c r="M12" s="20"/>
      <c r="N12" s="21"/>
      <c r="O12" s="22"/>
      <c r="P12" s="22"/>
      <c r="Q12" s="23"/>
      <c r="R12" s="26"/>
      <c r="U12" t="s">
        <v>112</v>
      </c>
      <c r="V12" t="s">
        <v>113</v>
      </c>
      <c r="W12" t="s">
        <v>114</v>
      </c>
      <c r="X12" t="s">
        <v>115</v>
      </c>
      <c r="Y12" t="s">
        <v>116</v>
      </c>
      <c r="AA12" s="16" t="s">
        <v>117</v>
      </c>
      <c r="AB12" s="16" t="s">
        <v>118</v>
      </c>
      <c r="AC12" s="16" t="s">
        <v>119</v>
      </c>
      <c r="AD12" t="s">
        <v>68</v>
      </c>
      <c r="AE12" s="16" t="s">
        <v>120</v>
      </c>
      <c r="AJ12" s="16"/>
      <c r="AK12" s="25" t="str">
        <f t="shared" si="0"/>
        <v/>
      </c>
      <c r="AL12" s="25" t="str">
        <f>IF(AK12="", "", _xlfn.XLOOKUP(AK12, [1]Auswahlseite!$I$4:$I$500, [1]Auswahlseite!$J$4:$J$500, "Nicht gefunden", 2))</f>
        <v/>
      </c>
      <c r="AM12" t="str">
        <f t="shared" si="1"/>
        <v/>
      </c>
      <c r="AN12" s="16" t="str">
        <f>IF(AM12="", "", _xlfn.XLOOKUP(AM12, [1]Auswahlseite!$I$4:$I$500, [1]Auswahlseite!$J$4:$J$500, "Nicht gefunden"))</f>
        <v/>
      </c>
    </row>
    <row r="13" spans="1:40" ht="22.15" customHeight="1">
      <c r="A13" s="23">
        <v>9</v>
      </c>
      <c r="B13" s="12"/>
      <c r="C13" s="13"/>
      <c r="D13" s="13"/>
      <c r="E13" s="13"/>
      <c r="F13" s="14"/>
      <c r="G13" s="15"/>
      <c r="H13" s="15"/>
      <c r="I13" s="24"/>
      <c r="J13" s="17"/>
      <c r="K13" s="18"/>
      <c r="L13" s="19"/>
      <c r="M13" s="20"/>
      <c r="N13" s="21"/>
      <c r="O13" s="22"/>
      <c r="P13" s="22"/>
      <c r="Q13" s="23"/>
      <c r="R13" s="26"/>
      <c r="V13" t="s">
        <v>121</v>
      </c>
      <c r="W13" t="s">
        <v>122</v>
      </c>
      <c r="AE13" s="16" t="s">
        <v>123</v>
      </c>
      <c r="AJ13" s="16"/>
      <c r="AK13" s="25" t="str">
        <f t="shared" si="0"/>
        <v/>
      </c>
      <c r="AL13" s="25" t="str">
        <f>IF(AK13="", "", _xlfn.XLOOKUP(AK13, [1]Auswahlseite!$I$4:$I$500, [1]Auswahlseite!$J$4:$J$500, "Nicht gefunden", 2))</f>
        <v/>
      </c>
      <c r="AM13" t="str">
        <f t="shared" si="1"/>
        <v/>
      </c>
      <c r="AN13" s="16" t="str">
        <f>IF(AM13="", "", _xlfn.XLOOKUP(AM13, [1]Auswahlseite!$I$4:$I$500, [1]Auswahlseite!$J$4:$J$500, "Nicht gefunden"))</f>
        <v/>
      </c>
    </row>
    <row r="14" spans="1:40" ht="22.15" customHeight="1">
      <c r="A14" s="23">
        <v>10</v>
      </c>
      <c r="B14" s="12"/>
      <c r="C14" s="13"/>
      <c r="D14" s="13"/>
      <c r="E14" s="13"/>
      <c r="F14" s="14"/>
      <c r="G14" s="15"/>
      <c r="H14" s="15"/>
      <c r="I14" s="24"/>
      <c r="J14" s="17"/>
      <c r="K14" s="18"/>
      <c r="L14" s="19"/>
      <c r="M14" s="20"/>
      <c r="N14" s="21"/>
      <c r="O14" s="22"/>
      <c r="P14" s="22"/>
      <c r="Q14" s="23"/>
      <c r="R14" s="26"/>
      <c r="U14" t="s">
        <v>124</v>
      </c>
      <c r="V14" t="s">
        <v>125</v>
      </c>
      <c r="W14" t="s">
        <v>126</v>
      </c>
      <c r="X14" s="16" t="s">
        <v>127</v>
      </c>
      <c r="Y14" t="s">
        <v>128</v>
      </c>
      <c r="AA14" t="s">
        <v>128</v>
      </c>
      <c r="AB14" t="s">
        <v>129</v>
      </c>
      <c r="AC14" t="s">
        <v>130</v>
      </c>
      <c r="AD14" s="16" t="s">
        <v>131</v>
      </c>
      <c r="AE14" s="16" t="s">
        <v>132</v>
      </c>
      <c r="AH14" t="s">
        <v>133</v>
      </c>
      <c r="AJ14" s="16"/>
      <c r="AK14" s="25" t="str">
        <f t="shared" si="0"/>
        <v/>
      </c>
      <c r="AL14" s="25" t="str">
        <f>IF(AK14="", "", _xlfn.XLOOKUP(AK14, [1]Auswahlseite!$I$4:$I$500, [1]Auswahlseite!$J$4:$J$500, "Nicht gefunden", 2))</f>
        <v/>
      </c>
      <c r="AM14" t="str">
        <f t="shared" si="1"/>
        <v/>
      </c>
      <c r="AN14" s="16" t="str">
        <f>IF(AM14="", "", _xlfn.XLOOKUP(AM14, [1]Auswahlseite!$I$4:$I$500, [1]Auswahlseite!$J$4:$J$500, "Nicht gefunden"))</f>
        <v/>
      </c>
    </row>
    <row r="15" spans="1:40" ht="22.15" customHeight="1">
      <c r="A15" s="23">
        <v>11</v>
      </c>
      <c r="B15" s="12"/>
      <c r="C15" s="13"/>
      <c r="D15" s="13"/>
      <c r="E15" s="13"/>
      <c r="F15" s="14"/>
      <c r="G15" s="15"/>
      <c r="H15" s="15"/>
      <c r="I15" s="24"/>
      <c r="J15" s="17"/>
      <c r="K15" s="18"/>
      <c r="L15" s="19"/>
      <c r="M15" s="20"/>
      <c r="N15" s="21"/>
      <c r="O15" s="22"/>
      <c r="P15" s="22"/>
      <c r="Q15" s="23"/>
      <c r="R15" s="26"/>
      <c r="U15" t="s">
        <v>134</v>
      </c>
      <c r="X15" s="16" t="s">
        <v>135</v>
      </c>
      <c r="Y15" t="s">
        <v>136</v>
      </c>
      <c r="AA15" t="s">
        <v>136</v>
      </c>
      <c r="AB15" t="s">
        <v>137</v>
      </c>
      <c r="AC15" t="s">
        <v>138</v>
      </c>
      <c r="AD15" s="16" t="s">
        <v>139</v>
      </c>
      <c r="AJ15" s="16"/>
      <c r="AK15" s="25" t="str">
        <f t="shared" si="0"/>
        <v/>
      </c>
      <c r="AL15" s="25" t="str">
        <f>IF(AK15="", "", _xlfn.XLOOKUP(AK15, [1]Auswahlseite!$I$4:$I$500, [1]Auswahlseite!$J$4:$J$500, "Nicht gefunden", 2))</f>
        <v/>
      </c>
      <c r="AM15" t="str">
        <f t="shared" si="1"/>
        <v/>
      </c>
      <c r="AN15" s="16" t="str">
        <f>IF(AM15="", "", _xlfn.XLOOKUP(AM15, [1]Auswahlseite!$I$4:$I$500, [1]Auswahlseite!$J$4:$J$500, "Nicht gefunden"))</f>
        <v/>
      </c>
    </row>
    <row r="16" spans="1:40" ht="22.15" customHeight="1">
      <c r="A16" s="23">
        <v>12</v>
      </c>
      <c r="B16" s="12"/>
      <c r="C16" s="13"/>
      <c r="D16" s="13"/>
      <c r="E16" s="13"/>
      <c r="F16" s="14"/>
      <c r="G16" s="15"/>
      <c r="H16" s="15"/>
      <c r="I16" s="24"/>
      <c r="J16" s="17"/>
      <c r="K16" s="18"/>
      <c r="L16" s="19"/>
      <c r="M16" s="20"/>
      <c r="N16" s="21"/>
      <c r="O16" s="22"/>
      <c r="P16" s="22"/>
      <c r="Q16" s="23"/>
      <c r="R16" s="26"/>
      <c r="U16" t="s">
        <v>140</v>
      </c>
      <c r="V16" t="s">
        <v>141</v>
      </c>
      <c r="W16" t="s">
        <v>142</v>
      </c>
      <c r="X16" s="16" t="s">
        <v>143</v>
      </c>
      <c r="Y16" t="s">
        <v>144</v>
      </c>
      <c r="AA16" t="s">
        <v>144</v>
      </c>
      <c r="AB16" t="s">
        <v>145</v>
      </c>
      <c r="AC16" t="s">
        <v>146</v>
      </c>
      <c r="AD16" s="16" t="s">
        <v>147</v>
      </c>
      <c r="AJ16" s="16"/>
      <c r="AK16" s="25" t="str">
        <f t="shared" si="0"/>
        <v/>
      </c>
      <c r="AL16" s="25" t="str">
        <f>IF(AK16="", "", _xlfn.XLOOKUP(AK16, [1]Auswahlseite!$I$4:$I$500, [1]Auswahlseite!$J$4:$J$500, "Nicht gefunden", 2))</f>
        <v/>
      </c>
      <c r="AM16" t="str">
        <f t="shared" si="1"/>
        <v/>
      </c>
      <c r="AN16" s="16" t="str">
        <f>IF(AM16="", "", _xlfn.XLOOKUP(AM16, [1]Auswahlseite!$I$4:$I$500, [1]Auswahlseite!$J$4:$J$500, "Nicht gefunden"))</f>
        <v/>
      </c>
    </row>
    <row r="17" spans="1:40" ht="22.15" customHeight="1">
      <c r="A17" s="23">
        <v>13</v>
      </c>
      <c r="B17" s="12"/>
      <c r="C17" s="13"/>
      <c r="D17" s="13"/>
      <c r="E17" s="13"/>
      <c r="F17" s="14"/>
      <c r="G17" s="15"/>
      <c r="H17" s="15"/>
      <c r="I17" s="24"/>
      <c r="J17" s="17"/>
      <c r="K17" s="18"/>
      <c r="L17" s="19"/>
      <c r="M17" s="20"/>
      <c r="N17" s="21"/>
      <c r="O17" s="22"/>
      <c r="P17" s="22"/>
      <c r="Q17" s="23"/>
      <c r="R17" s="26"/>
      <c r="V17" t="s">
        <v>148</v>
      </c>
      <c r="AJ17" s="16"/>
      <c r="AK17" s="25" t="str">
        <f t="shared" si="0"/>
        <v/>
      </c>
      <c r="AL17" s="25" t="str">
        <f>IF(AK17="", "", _xlfn.XLOOKUP(AK17, [1]Auswahlseite!$I$4:$I$500, [1]Auswahlseite!$J$4:$J$500, "Nicht gefunden", 2))</f>
        <v/>
      </c>
      <c r="AM17" t="str">
        <f t="shared" si="1"/>
        <v/>
      </c>
      <c r="AN17" s="16" t="str">
        <f>IF(AM17="", "", _xlfn.XLOOKUP(AM17, [1]Auswahlseite!$I$4:$I$500, [1]Auswahlseite!$J$4:$J$500, "Nicht gefunden"))</f>
        <v/>
      </c>
    </row>
    <row r="18" spans="1:40" ht="22.15" customHeight="1">
      <c r="A18" s="23">
        <v>14</v>
      </c>
      <c r="B18" s="12"/>
      <c r="C18" s="13"/>
      <c r="D18" s="13"/>
      <c r="E18" s="13"/>
      <c r="F18" s="14"/>
      <c r="G18" s="15"/>
      <c r="H18" s="15"/>
      <c r="I18" s="24"/>
      <c r="J18" s="17"/>
      <c r="K18" s="18"/>
      <c r="L18" s="19"/>
      <c r="M18" s="20"/>
      <c r="N18" s="21"/>
      <c r="O18" s="22"/>
      <c r="P18" s="22"/>
      <c r="Q18" s="23"/>
      <c r="R18" s="26"/>
      <c r="U18" t="s">
        <v>149</v>
      </c>
      <c r="W18" t="s">
        <v>150</v>
      </c>
      <c r="X18" s="16" t="s">
        <v>151</v>
      </c>
      <c r="Y18" s="16" t="s">
        <v>127</v>
      </c>
      <c r="AA18" t="s">
        <v>129</v>
      </c>
      <c r="AB18" t="s">
        <v>130</v>
      </c>
      <c r="AC18" t="s">
        <v>78</v>
      </c>
      <c r="AD18" s="16" t="s">
        <v>152</v>
      </c>
      <c r="AJ18" s="16"/>
      <c r="AK18" s="25" t="str">
        <f t="shared" si="0"/>
        <v/>
      </c>
      <c r="AL18" s="25" t="str">
        <f>IF(AK18="", "", _xlfn.XLOOKUP(AK18, [1]Auswahlseite!$I$4:$I$500, [1]Auswahlseite!$J$4:$J$500, "Nicht gefunden", 2))</f>
        <v/>
      </c>
      <c r="AM18" t="str">
        <f t="shared" si="1"/>
        <v/>
      </c>
      <c r="AN18" s="16" t="str">
        <f>IF(AM18="", "", _xlfn.XLOOKUP(AM18, [1]Auswahlseite!$I$4:$I$500, [1]Auswahlseite!$J$4:$J$500, "Nicht gefunden"))</f>
        <v/>
      </c>
    </row>
    <row r="19" spans="1:40" ht="22.15" customHeight="1">
      <c r="A19" s="23">
        <v>15</v>
      </c>
      <c r="B19" s="12"/>
      <c r="C19" s="13"/>
      <c r="D19" s="13"/>
      <c r="E19" s="13"/>
      <c r="F19" s="14"/>
      <c r="G19" s="15"/>
      <c r="H19" s="15"/>
      <c r="I19" s="24"/>
      <c r="J19" s="17"/>
      <c r="K19" s="18"/>
      <c r="L19" s="19"/>
      <c r="M19" s="20"/>
      <c r="N19" s="21"/>
      <c r="O19" s="22"/>
      <c r="P19" s="22"/>
      <c r="Q19" s="23"/>
      <c r="R19" s="26"/>
      <c r="U19" t="s">
        <v>153</v>
      </c>
      <c r="V19" t="s">
        <v>154</v>
      </c>
      <c r="W19" t="s">
        <v>155</v>
      </c>
      <c r="X19" s="16" t="s">
        <v>156</v>
      </c>
      <c r="Y19" s="16" t="s">
        <v>135</v>
      </c>
      <c r="AA19" t="s">
        <v>137</v>
      </c>
      <c r="AB19" t="s">
        <v>138</v>
      </c>
      <c r="AC19" t="s">
        <v>86</v>
      </c>
      <c r="AD19" s="16" t="s">
        <v>157</v>
      </c>
      <c r="AJ19" s="16"/>
      <c r="AK19" s="25" t="str">
        <f t="shared" si="0"/>
        <v/>
      </c>
      <c r="AL19" s="25" t="str">
        <f>IF(AK19="", "", _xlfn.XLOOKUP(AK19, [1]Auswahlseite!$I$4:$I$500, [1]Auswahlseite!$J$4:$J$500, "Nicht gefunden", 2))</f>
        <v/>
      </c>
      <c r="AM19" t="str">
        <f t="shared" si="1"/>
        <v/>
      </c>
      <c r="AN19" s="16" t="str">
        <f>IF(AM19="", "", _xlfn.XLOOKUP(AM19, [1]Auswahlseite!$I$4:$I$500, [1]Auswahlseite!$J$4:$J$500, "Nicht gefunden"))</f>
        <v/>
      </c>
    </row>
    <row r="20" spans="1:40" ht="22.15" customHeight="1">
      <c r="A20" s="23">
        <v>16</v>
      </c>
      <c r="B20" s="12"/>
      <c r="C20" s="13"/>
      <c r="D20" s="13"/>
      <c r="E20" s="13"/>
      <c r="F20" s="14"/>
      <c r="G20" s="15"/>
      <c r="H20" s="15"/>
      <c r="I20" s="24"/>
      <c r="J20" s="17"/>
      <c r="K20" s="18"/>
      <c r="L20" s="19"/>
      <c r="M20" s="20"/>
      <c r="N20" s="21"/>
      <c r="O20" s="22"/>
      <c r="P20" s="22"/>
      <c r="Q20" s="23"/>
      <c r="R20" s="26"/>
      <c r="U20" t="s">
        <v>158</v>
      </c>
      <c r="V20" t="s">
        <v>159</v>
      </c>
      <c r="X20" s="16" t="s">
        <v>160</v>
      </c>
      <c r="Y20" s="16" t="s">
        <v>143</v>
      </c>
      <c r="AA20" t="s">
        <v>145</v>
      </c>
      <c r="AB20" t="s">
        <v>146</v>
      </c>
      <c r="AC20" t="s">
        <v>96</v>
      </c>
      <c r="AD20" s="16" t="s">
        <v>161</v>
      </c>
      <c r="AJ20" s="16"/>
      <c r="AK20" s="25" t="str">
        <f t="shared" si="0"/>
        <v/>
      </c>
      <c r="AL20" s="25" t="str">
        <f>IF(AK20="", "", _xlfn.XLOOKUP(AK20, [1]Auswahlseite!$I$4:$I$500, [1]Auswahlseite!$J$4:$J$500, "Nicht gefunden", 2))</f>
        <v/>
      </c>
      <c r="AM20" t="str">
        <f t="shared" si="1"/>
        <v/>
      </c>
      <c r="AN20" s="16" t="str">
        <f>IF(AM20="", "", _xlfn.XLOOKUP(AM20, [1]Auswahlseite!$I$4:$I$500, [1]Auswahlseite!$J$4:$J$500, "Nicht gefunden"))</f>
        <v/>
      </c>
    </row>
    <row r="21" spans="1:40" ht="22.15" customHeight="1">
      <c r="A21" s="23">
        <v>17</v>
      </c>
      <c r="B21" s="12"/>
      <c r="C21" s="13"/>
      <c r="D21" s="13"/>
      <c r="E21" s="13"/>
      <c r="F21" s="14"/>
      <c r="G21" s="15"/>
      <c r="H21" s="15"/>
      <c r="I21" s="24"/>
      <c r="J21" s="17"/>
      <c r="K21" s="18"/>
      <c r="L21" s="19"/>
      <c r="M21" s="20"/>
      <c r="N21" s="21"/>
      <c r="O21" s="22"/>
      <c r="P21" s="22"/>
      <c r="Q21" s="23"/>
      <c r="R21" s="26"/>
      <c r="V21" t="s">
        <v>162</v>
      </c>
      <c r="W21" t="s">
        <v>163</v>
      </c>
      <c r="AJ21" s="16"/>
      <c r="AK21" s="25" t="str">
        <f t="shared" si="0"/>
        <v/>
      </c>
      <c r="AL21" s="25" t="str">
        <f>IF(AK21="", "", _xlfn.XLOOKUP(AK21, [1]Auswahlseite!$I$4:$I$500, [1]Auswahlseite!$J$4:$J$500, "Nicht gefunden", 2))</f>
        <v/>
      </c>
      <c r="AM21" t="str">
        <f t="shared" si="1"/>
        <v/>
      </c>
      <c r="AN21" s="16" t="str">
        <f>IF(AM21="", "", _xlfn.XLOOKUP(AM21, [1]Auswahlseite!$I$4:$I$500, [1]Auswahlseite!$J$4:$J$500, "Nicht gefunden"))</f>
        <v/>
      </c>
    </row>
    <row r="22" spans="1:40" ht="22.15" customHeight="1">
      <c r="A22" s="23">
        <v>18</v>
      </c>
      <c r="B22" s="12"/>
      <c r="C22" s="13"/>
      <c r="D22" s="13"/>
      <c r="E22" s="13"/>
      <c r="F22" s="14"/>
      <c r="G22" s="15"/>
      <c r="H22" s="15"/>
      <c r="I22" s="24"/>
      <c r="J22" s="17"/>
      <c r="K22" s="18"/>
      <c r="L22" s="19"/>
      <c r="M22" s="20"/>
      <c r="N22" s="21"/>
      <c r="O22" s="22"/>
      <c r="P22" s="22"/>
      <c r="Q22" s="23"/>
      <c r="R22" s="26"/>
      <c r="U22" t="s">
        <v>164</v>
      </c>
      <c r="W22" t="s">
        <v>165</v>
      </c>
      <c r="X22" t="s">
        <v>166</v>
      </c>
      <c r="Y22" s="16" t="s">
        <v>151</v>
      </c>
      <c r="AA22" s="16" t="s">
        <v>151</v>
      </c>
      <c r="AB22" s="16" t="s">
        <v>167</v>
      </c>
      <c r="AC22" s="16" t="s">
        <v>168</v>
      </c>
      <c r="AD22" s="16" t="s">
        <v>169</v>
      </c>
      <c r="AJ22" s="16"/>
      <c r="AK22" s="25" t="str">
        <f t="shared" si="0"/>
        <v/>
      </c>
      <c r="AL22" s="25" t="str">
        <f>IF(AK22="", "", _xlfn.XLOOKUP(AK22, [1]Auswahlseite!$I$4:$I$500, [1]Auswahlseite!$J$4:$J$500, "Nicht gefunden", 2))</f>
        <v/>
      </c>
      <c r="AM22" t="str">
        <f t="shared" si="1"/>
        <v/>
      </c>
      <c r="AN22" s="16" t="str">
        <f>IF(AM22="", "", _xlfn.XLOOKUP(AM22, [1]Auswahlseite!$I$4:$I$500, [1]Auswahlseite!$J$4:$J$500, "Nicht gefunden"))</f>
        <v/>
      </c>
    </row>
    <row r="23" spans="1:40" ht="22.15" customHeight="1">
      <c r="A23" s="23">
        <v>19</v>
      </c>
      <c r="B23" s="12"/>
      <c r="C23" s="13"/>
      <c r="D23" s="13"/>
      <c r="E23" s="13"/>
      <c r="F23" s="14"/>
      <c r="G23" s="15"/>
      <c r="H23" s="15"/>
      <c r="I23" s="24"/>
      <c r="J23" s="17"/>
      <c r="K23" s="18"/>
      <c r="L23" s="19"/>
      <c r="M23" s="20"/>
      <c r="N23" s="21"/>
      <c r="O23" s="22"/>
      <c r="P23" s="22"/>
      <c r="Q23" s="23"/>
      <c r="R23" s="26"/>
      <c r="U23" t="s">
        <v>170</v>
      </c>
      <c r="V23" t="s">
        <v>171</v>
      </c>
      <c r="W23" t="s">
        <v>172</v>
      </c>
      <c r="Y23" s="16" t="s">
        <v>156</v>
      </c>
      <c r="AA23" s="16" t="s">
        <v>156</v>
      </c>
      <c r="AB23" s="16" t="s">
        <v>173</v>
      </c>
      <c r="AC23" s="16" t="s">
        <v>174</v>
      </c>
      <c r="AD23" s="16" t="s">
        <v>175</v>
      </c>
      <c r="AJ23" s="16"/>
      <c r="AK23" s="25" t="str">
        <f t="shared" si="0"/>
        <v/>
      </c>
      <c r="AL23" s="25" t="str">
        <f>IF(AK23="", "", _xlfn.XLOOKUP(AK23, [1]Auswahlseite!$I$4:$I$500, [1]Auswahlseite!$J$4:$J$500, "Nicht gefunden", 2))</f>
        <v/>
      </c>
      <c r="AM23" t="str">
        <f t="shared" si="1"/>
        <v/>
      </c>
      <c r="AN23" s="16" t="str">
        <f>IF(AM23="", "", _xlfn.XLOOKUP(AM23, [1]Auswahlseite!$I$4:$I$500, [1]Auswahlseite!$J$4:$J$500, "Nicht gefunden"))</f>
        <v/>
      </c>
    </row>
    <row r="24" spans="1:40" ht="22.15" customHeight="1">
      <c r="A24" s="23">
        <v>20</v>
      </c>
      <c r="B24" s="12"/>
      <c r="C24" s="13"/>
      <c r="D24" s="13"/>
      <c r="E24" s="13"/>
      <c r="F24" s="14"/>
      <c r="G24" s="15"/>
      <c r="H24" s="15"/>
      <c r="I24" s="24"/>
      <c r="J24" s="17"/>
      <c r="K24" s="18"/>
      <c r="L24" s="19"/>
      <c r="M24" s="20"/>
      <c r="N24" s="21"/>
      <c r="O24" s="22"/>
      <c r="P24" s="22"/>
      <c r="Q24" s="23"/>
      <c r="R24" s="26"/>
      <c r="U24" t="s">
        <v>176</v>
      </c>
      <c r="V24" t="s">
        <v>177</v>
      </c>
      <c r="X24" t="s">
        <v>178</v>
      </c>
      <c r="Y24" s="16" t="s">
        <v>160</v>
      </c>
      <c r="AA24" s="16" t="s">
        <v>160</v>
      </c>
      <c r="AB24" s="16" t="s">
        <v>179</v>
      </c>
      <c r="AC24" s="16" t="s">
        <v>180</v>
      </c>
      <c r="AD24" s="16" t="s">
        <v>181</v>
      </c>
      <c r="AJ24" s="16"/>
      <c r="AK24" s="25" t="str">
        <f t="shared" si="0"/>
        <v/>
      </c>
      <c r="AL24" s="25" t="str">
        <f>IF(AK24="", "", _xlfn.XLOOKUP(AK24, [1]Auswahlseite!$I$4:$I$500, [1]Auswahlseite!$J$4:$J$500, "Nicht gefunden", 2))</f>
        <v/>
      </c>
      <c r="AM24" t="str">
        <f t="shared" si="1"/>
        <v/>
      </c>
      <c r="AN24" s="16" t="str">
        <f>IF(AM24="", "", _xlfn.XLOOKUP(AM24, [1]Auswahlseite!$I$4:$I$500, [1]Auswahlseite!$J$4:$J$500, "Nicht gefunden"))</f>
        <v/>
      </c>
    </row>
    <row r="25" spans="1:40" ht="18" customHeight="1">
      <c r="A25" s="47" t="s">
        <v>182</v>
      </c>
      <c r="B25" s="48"/>
      <c r="C25" s="48"/>
      <c r="D25" s="48"/>
      <c r="E25" s="49"/>
      <c r="F25" s="50" t="s">
        <v>183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2"/>
      <c r="V25" t="s">
        <v>184</v>
      </c>
      <c r="W25" t="s">
        <v>185</v>
      </c>
      <c r="X25" t="s">
        <v>186</v>
      </c>
    </row>
    <row r="26" spans="1:40" ht="18" customHeight="1">
      <c r="A26" s="12">
        <v>1</v>
      </c>
      <c r="B26" s="47" t="s">
        <v>187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9"/>
      <c r="AA26" s="27" t="s">
        <v>188</v>
      </c>
      <c r="AB26" s="27" t="s">
        <v>189</v>
      </c>
      <c r="AC26" s="27" t="s">
        <v>190</v>
      </c>
    </row>
    <row r="27" spans="1:40" ht="18" customHeight="1">
      <c r="A27" s="23">
        <v>2</v>
      </c>
      <c r="B27" s="53" t="s">
        <v>191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5"/>
      <c r="U27" t="s">
        <v>192</v>
      </c>
      <c r="V27" s="16" t="s">
        <v>193</v>
      </c>
      <c r="W27" t="s">
        <v>194</v>
      </c>
      <c r="Y27" t="s">
        <v>195</v>
      </c>
      <c r="AA27" s="16" t="s">
        <v>173</v>
      </c>
      <c r="AB27" s="16" t="s">
        <v>174</v>
      </c>
      <c r="AC27" s="16" t="s">
        <v>139</v>
      </c>
      <c r="AD27" s="16" t="s">
        <v>196</v>
      </c>
    </row>
    <row r="28" spans="1:40" ht="18" customHeight="1">
      <c r="A28" s="23">
        <v>3</v>
      </c>
      <c r="B28" s="47" t="s">
        <v>197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9"/>
      <c r="V28" s="16" t="s">
        <v>198</v>
      </c>
      <c r="X28" s="16" t="s">
        <v>199</v>
      </c>
      <c r="Y28" t="s">
        <v>200</v>
      </c>
      <c r="AA28" s="16" t="s">
        <v>179</v>
      </c>
      <c r="AB28" s="16" t="s">
        <v>180</v>
      </c>
      <c r="AC28" s="16" t="s">
        <v>147</v>
      </c>
      <c r="AD28" s="16" t="s">
        <v>201</v>
      </c>
    </row>
    <row r="29" spans="1:40" ht="18" customHeight="1">
      <c r="A29" s="37" t="s">
        <v>202</v>
      </c>
      <c r="B29" s="38"/>
      <c r="C29" s="39"/>
      <c r="D29" s="39"/>
      <c r="E29" s="37" t="s">
        <v>203</v>
      </c>
      <c r="F29" s="40"/>
      <c r="G29" s="41"/>
      <c r="H29" s="42"/>
      <c r="I29" s="42"/>
      <c r="J29" s="42"/>
      <c r="K29" s="28" t="s">
        <v>204</v>
      </c>
      <c r="L29" s="43" t="s">
        <v>205</v>
      </c>
      <c r="M29" s="43"/>
      <c r="N29" s="43"/>
      <c r="O29" s="43"/>
      <c r="P29" s="43"/>
      <c r="Q29" s="43"/>
      <c r="R29" s="43"/>
      <c r="U29" t="s">
        <v>206</v>
      </c>
      <c r="W29" s="16" t="s">
        <v>207</v>
      </c>
      <c r="X29" s="16" t="s">
        <v>208</v>
      </c>
    </row>
    <row r="30" spans="1:40" ht="18" customHeight="1">
      <c r="A30" s="37" t="s">
        <v>209</v>
      </c>
      <c r="B30" s="38"/>
      <c r="C30" s="82"/>
      <c r="D30" s="82"/>
      <c r="E30" s="37" t="s">
        <v>210</v>
      </c>
      <c r="F30" s="40"/>
      <c r="G30" s="41"/>
      <c r="H30" s="42"/>
      <c r="I30" s="42"/>
      <c r="J30" s="42"/>
      <c r="K30" s="28" t="s">
        <v>204</v>
      </c>
      <c r="L30" s="43" t="s">
        <v>205</v>
      </c>
      <c r="M30" s="43"/>
      <c r="N30" s="43"/>
      <c r="O30" s="43"/>
      <c r="P30" s="43"/>
      <c r="Q30" s="43"/>
      <c r="R30" s="43"/>
      <c r="V30" s="16" t="s">
        <v>211</v>
      </c>
      <c r="W30" s="16" t="s">
        <v>212</v>
      </c>
      <c r="Y30" t="s">
        <v>213</v>
      </c>
      <c r="AA30" s="16" t="s">
        <v>214</v>
      </c>
      <c r="AB30" s="16" t="s">
        <v>214</v>
      </c>
      <c r="AC30" s="16" t="s">
        <v>215</v>
      </c>
      <c r="AD30" s="16" t="s">
        <v>216</v>
      </c>
    </row>
    <row r="31" spans="1:40" ht="48" customHeight="1">
      <c r="A31" s="69" t="s">
        <v>0</v>
      </c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1" t="s">
        <v>1</v>
      </c>
      <c r="M31" s="71"/>
      <c r="N31" s="71"/>
      <c r="O31" s="71"/>
      <c r="P31" s="71"/>
      <c r="Q31" s="1" t="s">
        <v>2</v>
      </c>
      <c r="R31" s="2" t="s">
        <v>3</v>
      </c>
      <c r="S31" s="3"/>
      <c r="T31" s="3" t="s">
        <v>4</v>
      </c>
      <c r="U31" s="4" t="s">
        <v>5</v>
      </c>
      <c r="V31" s="4" t="s">
        <v>6</v>
      </c>
      <c r="W31" s="4" t="s">
        <v>7</v>
      </c>
      <c r="X31" s="4" t="s">
        <v>8</v>
      </c>
      <c r="Y31" s="4" t="s">
        <v>9</v>
      </c>
      <c r="Z31" s="4"/>
      <c r="AA31" s="4" t="s">
        <v>10</v>
      </c>
      <c r="AB31" s="4" t="s">
        <v>11</v>
      </c>
      <c r="AC31" s="4" t="s">
        <v>12</v>
      </c>
      <c r="AD31" s="4" t="s">
        <v>13</v>
      </c>
      <c r="AE31" s="4" t="s">
        <v>14</v>
      </c>
      <c r="AF31" s="4" t="s">
        <v>15</v>
      </c>
    </row>
    <row r="32" spans="1:40" s="8" customFormat="1" ht="18" customHeight="1">
      <c r="A32" s="5" t="s">
        <v>16</v>
      </c>
      <c r="B32" s="44">
        <f>B2</f>
        <v>0</v>
      </c>
      <c r="C32" s="45"/>
      <c r="D32" s="45"/>
      <c r="E32" s="6" t="s">
        <v>217</v>
      </c>
      <c r="F32" s="72" t="s">
        <v>18</v>
      </c>
      <c r="G32" s="74" t="s">
        <v>19</v>
      </c>
      <c r="H32" s="74" t="s">
        <v>20</v>
      </c>
      <c r="I32" s="77" t="s">
        <v>21</v>
      </c>
      <c r="J32" s="62" t="s">
        <v>22</v>
      </c>
      <c r="K32" s="79" t="s">
        <v>23</v>
      </c>
      <c r="L32" s="62" t="s">
        <v>24</v>
      </c>
      <c r="M32" s="56" t="s">
        <v>25</v>
      </c>
      <c r="N32" s="83" t="s">
        <v>26</v>
      </c>
      <c r="O32" s="62" t="s">
        <v>27</v>
      </c>
      <c r="P32" s="65" t="s">
        <v>28</v>
      </c>
      <c r="Q32" s="66" t="s">
        <v>29</v>
      </c>
      <c r="R32" s="68" t="s">
        <v>30</v>
      </c>
      <c r="S32"/>
      <c r="T32" s="7" t="str">
        <f>IF(C65&gt;18,IF(C65=20,Nennweite20,IF(C65=60,U34,IF(C65=50,Nennweite50,IF(C65=25,Nennweite25,IF(C65=32,Nennweite32,IF(C65=40,Nennweite40,"&gt;")))))),IF(C65=8,Nennweite8,IF(C65=6,Nennweite6,IF(C65=10,Nennweite10,IF(C65=18,Nennweite18,IF(C65=16,Nennweite16,IF(C65=12,Nennweite12,"")))))))</f>
        <v/>
      </c>
      <c r="U32" t="s">
        <v>31</v>
      </c>
      <c r="V32" t="s">
        <v>32</v>
      </c>
      <c r="W32" t="s">
        <v>33</v>
      </c>
      <c r="X32" t="s">
        <v>34</v>
      </c>
      <c r="Y32" t="s">
        <v>35</v>
      </c>
      <c r="Z32"/>
      <c r="AA32" t="s">
        <v>36</v>
      </c>
      <c r="AB32" t="s">
        <v>37</v>
      </c>
      <c r="AC32" t="s">
        <v>38</v>
      </c>
      <c r="AD32" t="s">
        <v>39</v>
      </c>
      <c r="AE32" t="s">
        <v>40</v>
      </c>
      <c r="AF32" t="s">
        <v>41</v>
      </c>
    </row>
    <row r="33" spans="1:32" ht="18" customHeight="1">
      <c r="A33" s="5" t="s">
        <v>42</v>
      </c>
      <c r="B33" s="44">
        <f>B3</f>
        <v>0</v>
      </c>
      <c r="C33" s="45"/>
      <c r="D33" s="45"/>
      <c r="E33" s="46"/>
      <c r="F33" s="72"/>
      <c r="G33" s="75"/>
      <c r="H33" s="75"/>
      <c r="I33" s="77"/>
      <c r="J33" s="63"/>
      <c r="K33" s="80"/>
      <c r="L33" s="63"/>
      <c r="M33" s="57"/>
      <c r="N33" s="84"/>
      <c r="O33" s="63"/>
      <c r="P33" s="63"/>
      <c r="Q33" s="66"/>
      <c r="R33" s="66"/>
      <c r="U33" t="s">
        <v>43</v>
      </c>
      <c r="V33" t="s">
        <v>44</v>
      </c>
      <c r="W33" t="s">
        <v>45</v>
      </c>
      <c r="X33" t="s">
        <v>46</v>
      </c>
      <c r="Y33" t="s">
        <v>47</v>
      </c>
      <c r="AA33" t="s">
        <v>48</v>
      </c>
      <c r="AB33" t="s">
        <v>49</v>
      </c>
      <c r="AC33" t="s">
        <v>50</v>
      </c>
      <c r="AD33" t="s">
        <v>51</v>
      </c>
      <c r="AE33" t="s">
        <v>52</v>
      </c>
      <c r="AF33" t="s">
        <v>53</v>
      </c>
    </row>
    <row r="34" spans="1:32" ht="18" customHeight="1" thickBot="1">
      <c r="A34" s="9" t="s">
        <v>54</v>
      </c>
      <c r="B34" s="10" t="s">
        <v>55</v>
      </c>
      <c r="C34" s="10" t="s">
        <v>56</v>
      </c>
      <c r="D34" s="11" t="s">
        <v>57</v>
      </c>
      <c r="E34" s="9" t="s">
        <v>58</v>
      </c>
      <c r="F34" s="73"/>
      <c r="G34" s="76"/>
      <c r="H34" s="76"/>
      <c r="I34" s="78"/>
      <c r="J34" s="64"/>
      <c r="K34" s="81"/>
      <c r="L34" s="64"/>
      <c r="M34" s="58"/>
      <c r="N34" s="85"/>
      <c r="O34" s="64"/>
      <c r="P34" s="64"/>
      <c r="Q34" s="67"/>
      <c r="R34" s="67"/>
      <c r="U34" t="s">
        <v>59</v>
      </c>
      <c r="V34" t="s">
        <v>60</v>
      </c>
      <c r="W34" t="s">
        <v>61</v>
      </c>
      <c r="X34" t="s">
        <v>62</v>
      </c>
      <c r="Y34" t="s">
        <v>63</v>
      </c>
      <c r="AA34" t="s">
        <v>64</v>
      </c>
      <c r="AB34" t="s">
        <v>65</v>
      </c>
      <c r="AC34" t="s">
        <v>66</v>
      </c>
      <c r="AD34" t="s">
        <v>67</v>
      </c>
      <c r="AE34" t="s">
        <v>68</v>
      </c>
      <c r="AF34" t="s">
        <v>69</v>
      </c>
    </row>
    <row r="35" spans="1:32" ht="22.15" customHeight="1">
      <c r="A35" s="12">
        <v>21</v>
      </c>
      <c r="B35" s="13"/>
      <c r="C35" s="13"/>
      <c r="D35" s="13"/>
      <c r="E35" s="13"/>
      <c r="F35" s="14"/>
      <c r="G35" s="15"/>
      <c r="H35" s="15"/>
      <c r="I35" s="24"/>
      <c r="J35" s="29"/>
      <c r="K35" s="18"/>
      <c r="L35" s="19"/>
      <c r="M35" s="20"/>
      <c r="N35" s="21"/>
      <c r="O35" s="30"/>
      <c r="P35" s="30"/>
      <c r="Q35" s="23"/>
      <c r="R35" s="24"/>
      <c r="U35" t="s">
        <v>218</v>
      </c>
      <c r="V35" t="s">
        <v>219</v>
      </c>
      <c r="X35" t="s">
        <v>220</v>
      </c>
      <c r="Y35" t="s">
        <v>221</v>
      </c>
      <c r="AA35" t="s">
        <v>222</v>
      </c>
      <c r="AB35" t="s">
        <v>223</v>
      </c>
      <c r="AC35" t="s">
        <v>161</v>
      </c>
      <c r="AD35" t="s">
        <v>224</v>
      </c>
    </row>
    <row r="36" spans="1:32" ht="22.15" customHeight="1">
      <c r="A36" s="12">
        <v>22</v>
      </c>
      <c r="B36" s="13"/>
      <c r="C36" s="13"/>
      <c r="D36" s="13"/>
      <c r="E36" s="13"/>
      <c r="F36" s="14"/>
      <c r="G36" s="15"/>
      <c r="H36" s="15"/>
      <c r="I36" s="24"/>
      <c r="J36" s="17"/>
      <c r="K36" s="18"/>
      <c r="L36" s="19"/>
      <c r="M36" s="20"/>
      <c r="N36" s="21"/>
      <c r="O36" s="30"/>
      <c r="P36" s="30"/>
      <c r="Q36" s="23"/>
      <c r="R36" s="24"/>
      <c r="U36" t="s">
        <v>225</v>
      </c>
      <c r="W36" t="s">
        <v>226</v>
      </c>
      <c r="X36" t="s">
        <v>227</v>
      </c>
      <c r="Y36" t="s">
        <v>228</v>
      </c>
    </row>
    <row r="37" spans="1:32" ht="22.15" customHeight="1">
      <c r="A37" s="12">
        <v>23</v>
      </c>
      <c r="B37" s="13"/>
      <c r="C37" s="13"/>
      <c r="D37" s="13"/>
      <c r="E37" s="13"/>
      <c r="F37" s="14"/>
      <c r="G37" s="15"/>
      <c r="H37" s="15"/>
      <c r="I37" s="24"/>
      <c r="J37" s="17"/>
      <c r="K37" s="18"/>
      <c r="L37" s="19"/>
      <c r="M37" s="20"/>
      <c r="N37" s="21"/>
      <c r="O37" s="30"/>
      <c r="P37" s="30"/>
      <c r="Q37" s="23"/>
      <c r="R37" s="24"/>
      <c r="V37" t="s">
        <v>229</v>
      </c>
      <c r="W37" t="s">
        <v>230</v>
      </c>
      <c r="Y37" t="s">
        <v>231</v>
      </c>
      <c r="AA37" t="s">
        <v>232</v>
      </c>
      <c r="AB37" t="s">
        <v>232</v>
      </c>
      <c r="AC37" t="s">
        <v>233</v>
      </c>
      <c r="AD37" t="s">
        <v>234</v>
      </c>
    </row>
    <row r="38" spans="1:32" ht="22.15" customHeight="1">
      <c r="A38" s="12">
        <v>24</v>
      </c>
      <c r="B38" s="12"/>
      <c r="C38" s="13"/>
      <c r="D38" s="13"/>
      <c r="E38" s="13"/>
      <c r="F38" s="14"/>
      <c r="G38" s="15"/>
      <c r="H38" s="15"/>
      <c r="I38" s="24"/>
      <c r="J38" s="17"/>
      <c r="K38" s="18"/>
      <c r="L38" s="19"/>
      <c r="M38" s="20"/>
      <c r="N38" s="21"/>
      <c r="O38" s="30"/>
      <c r="P38" s="30"/>
      <c r="Q38" s="23"/>
      <c r="R38" s="24"/>
      <c r="U38" t="s">
        <v>235</v>
      </c>
      <c r="W38" t="s">
        <v>236</v>
      </c>
      <c r="X38" t="s">
        <v>237</v>
      </c>
      <c r="AA38" t="s">
        <v>238</v>
      </c>
      <c r="AB38" t="s">
        <v>238</v>
      </c>
      <c r="AC38" t="s">
        <v>239</v>
      </c>
      <c r="AD38" t="s">
        <v>240</v>
      </c>
    </row>
    <row r="39" spans="1:32" ht="22.15" customHeight="1">
      <c r="A39" s="12">
        <v>25</v>
      </c>
      <c r="B39" s="12"/>
      <c r="C39" s="13"/>
      <c r="D39" s="13"/>
      <c r="E39" s="13"/>
      <c r="F39" s="14"/>
      <c r="G39" s="15"/>
      <c r="H39" s="15"/>
      <c r="I39" s="24"/>
      <c r="J39" s="17"/>
      <c r="K39" s="18"/>
      <c r="L39" s="19"/>
      <c r="M39" s="20"/>
      <c r="N39" s="21"/>
      <c r="O39" s="30"/>
      <c r="P39" s="30"/>
      <c r="Q39" s="23"/>
      <c r="R39" s="24"/>
      <c r="U39" t="s">
        <v>241</v>
      </c>
      <c r="V39" t="s">
        <v>242</v>
      </c>
      <c r="Y39" t="s">
        <v>243</v>
      </c>
      <c r="AA39" t="s">
        <v>244</v>
      </c>
      <c r="AB39" t="s">
        <v>244</v>
      </c>
      <c r="AC39" t="s">
        <v>245</v>
      </c>
      <c r="AD39" t="s">
        <v>246</v>
      </c>
    </row>
    <row r="40" spans="1:32" ht="22.15" customHeight="1">
      <c r="A40" s="12">
        <v>26</v>
      </c>
      <c r="B40" s="12"/>
      <c r="C40" s="13"/>
      <c r="D40" s="13"/>
      <c r="E40" s="13"/>
      <c r="F40" s="14"/>
      <c r="G40" s="15"/>
      <c r="H40" s="15"/>
      <c r="I40" s="24"/>
      <c r="J40" s="17"/>
      <c r="K40" s="18"/>
      <c r="L40" s="19"/>
      <c r="M40" s="20"/>
      <c r="N40" s="21"/>
      <c r="O40" s="30"/>
      <c r="P40" s="30"/>
      <c r="Q40" s="23"/>
      <c r="R40" s="24"/>
      <c r="U40" t="s">
        <v>247</v>
      </c>
      <c r="W40" t="s">
        <v>248</v>
      </c>
      <c r="X40" t="s">
        <v>249</v>
      </c>
      <c r="Y40" t="s">
        <v>250</v>
      </c>
    </row>
    <row r="41" spans="1:32" ht="22.15" customHeight="1">
      <c r="A41" s="12">
        <v>27</v>
      </c>
      <c r="B41" s="12"/>
      <c r="C41" s="13"/>
      <c r="D41" s="13"/>
      <c r="E41" s="13"/>
      <c r="F41" s="14"/>
      <c r="G41" s="15"/>
      <c r="H41" s="15"/>
      <c r="I41" s="24"/>
      <c r="J41" s="17"/>
      <c r="K41" s="18"/>
      <c r="L41" s="19"/>
      <c r="M41" s="20"/>
      <c r="N41" s="21"/>
      <c r="O41" s="30"/>
      <c r="P41" s="30"/>
      <c r="Q41" s="23"/>
      <c r="R41" s="24"/>
      <c r="W41" t="s">
        <v>251</v>
      </c>
      <c r="AA41" t="s">
        <v>252</v>
      </c>
      <c r="AB41" t="s">
        <v>233</v>
      </c>
      <c r="AC41" t="s">
        <v>253</v>
      </c>
      <c r="AD41" t="s">
        <v>254</v>
      </c>
    </row>
    <row r="42" spans="1:32" ht="22.15" customHeight="1">
      <c r="A42" s="12">
        <v>28</v>
      </c>
      <c r="B42" s="12"/>
      <c r="C42" s="13"/>
      <c r="D42" s="13"/>
      <c r="E42" s="13"/>
      <c r="F42" s="14"/>
      <c r="G42" s="15"/>
      <c r="H42" s="15"/>
      <c r="I42" s="24"/>
      <c r="J42" s="17"/>
      <c r="K42" s="18"/>
      <c r="L42" s="19"/>
      <c r="M42" s="20"/>
      <c r="N42" s="21"/>
      <c r="O42" s="30"/>
      <c r="P42" s="30"/>
      <c r="Q42" s="23"/>
      <c r="R42" s="24"/>
      <c r="U42" t="s">
        <v>255</v>
      </c>
      <c r="W42" t="s">
        <v>256</v>
      </c>
      <c r="Y42" t="s">
        <v>257</v>
      </c>
      <c r="AA42" t="s">
        <v>258</v>
      </c>
      <c r="AB42" t="s">
        <v>239</v>
      </c>
      <c r="AC42" t="s">
        <v>196</v>
      </c>
    </row>
    <row r="43" spans="1:32" ht="22.15" customHeight="1">
      <c r="A43" s="12">
        <v>29</v>
      </c>
      <c r="B43" s="12"/>
      <c r="C43" s="13"/>
      <c r="D43" s="13"/>
      <c r="E43" s="13"/>
      <c r="F43" s="14"/>
      <c r="G43" s="15"/>
      <c r="H43" s="15"/>
      <c r="I43" s="24"/>
      <c r="J43" s="17"/>
      <c r="K43" s="18"/>
      <c r="L43" s="19"/>
      <c r="M43" s="20"/>
      <c r="N43" s="21"/>
      <c r="O43" s="30"/>
      <c r="P43" s="30"/>
      <c r="Q43" s="23"/>
      <c r="R43" s="24"/>
      <c r="U43" t="s">
        <v>259</v>
      </c>
      <c r="Y43" t="s">
        <v>260</v>
      </c>
      <c r="AB43" t="s">
        <v>245</v>
      </c>
      <c r="AC43" t="s">
        <v>261</v>
      </c>
    </row>
    <row r="44" spans="1:32" ht="22.15" customHeight="1">
      <c r="A44" s="12">
        <v>30</v>
      </c>
      <c r="B44" s="12"/>
      <c r="C44" s="13"/>
      <c r="D44" s="13"/>
      <c r="E44" s="13"/>
      <c r="F44" s="14"/>
      <c r="G44" s="15"/>
      <c r="H44" s="15"/>
      <c r="I44" s="24"/>
      <c r="J44" s="17"/>
      <c r="K44" s="18"/>
      <c r="L44" s="19"/>
      <c r="M44" s="20"/>
      <c r="N44" s="21"/>
      <c r="O44" s="30"/>
      <c r="P44" s="30"/>
      <c r="Q44" s="23"/>
      <c r="R44" s="24"/>
      <c r="U44" t="s">
        <v>262</v>
      </c>
      <c r="W44" t="s">
        <v>263</v>
      </c>
      <c r="Y44" t="s">
        <v>264</v>
      </c>
      <c r="AA44" t="s">
        <v>265</v>
      </c>
    </row>
    <row r="45" spans="1:32" ht="22.15" customHeight="1">
      <c r="A45" s="12">
        <v>31</v>
      </c>
      <c r="B45" s="12"/>
      <c r="C45" s="13"/>
      <c r="D45" s="13"/>
      <c r="E45" s="13"/>
      <c r="F45" s="14"/>
      <c r="G45" s="15"/>
      <c r="H45" s="15"/>
      <c r="I45" s="24"/>
      <c r="J45" s="17"/>
      <c r="K45" s="18"/>
      <c r="L45" s="19"/>
      <c r="M45" s="20"/>
      <c r="N45" s="21"/>
      <c r="O45" s="30"/>
      <c r="P45" s="30"/>
      <c r="Q45" s="23"/>
      <c r="R45" s="24"/>
      <c r="AA45" t="s">
        <v>266</v>
      </c>
      <c r="AB45" t="s">
        <v>267</v>
      </c>
      <c r="AC45" t="s">
        <v>268</v>
      </c>
    </row>
    <row r="46" spans="1:32" ht="22.15" customHeight="1">
      <c r="A46" s="12">
        <v>32</v>
      </c>
      <c r="B46" s="12"/>
      <c r="C46" s="13"/>
      <c r="D46" s="13"/>
      <c r="E46" s="13"/>
      <c r="F46" s="14"/>
      <c r="G46" s="15"/>
      <c r="H46" s="15"/>
      <c r="I46" s="24"/>
      <c r="J46" s="17"/>
      <c r="K46" s="18"/>
      <c r="L46" s="19"/>
      <c r="M46" s="20"/>
      <c r="N46" s="21"/>
      <c r="O46" s="30"/>
      <c r="P46" s="30"/>
      <c r="Q46" s="23"/>
      <c r="R46" s="24"/>
      <c r="U46" t="s">
        <v>269</v>
      </c>
      <c r="W46" t="s">
        <v>270</v>
      </c>
      <c r="Y46" t="s">
        <v>271</v>
      </c>
      <c r="AA46" t="s">
        <v>272</v>
      </c>
      <c r="AB46" t="s">
        <v>273</v>
      </c>
      <c r="AC46" t="s">
        <v>274</v>
      </c>
    </row>
    <row r="47" spans="1:32" ht="22.15" customHeight="1">
      <c r="A47" s="12">
        <v>33</v>
      </c>
      <c r="B47" s="12"/>
      <c r="C47" s="13"/>
      <c r="D47" s="13"/>
      <c r="E47" s="13"/>
      <c r="F47" s="14"/>
      <c r="G47" s="15"/>
      <c r="H47" s="15"/>
      <c r="I47" s="24"/>
      <c r="J47" s="17"/>
      <c r="K47" s="18"/>
      <c r="L47" s="19"/>
      <c r="M47" s="20"/>
      <c r="N47" s="21"/>
      <c r="O47" s="30"/>
      <c r="P47" s="30"/>
      <c r="Q47" s="23"/>
      <c r="R47" s="24"/>
      <c r="U47" t="s">
        <v>275</v>
      </c>
      <c r="Y47" t="s">
        <v>276</v>
      </c>
    </row>
    <row r="48" spans="1:32" ht="22.15" customHeight="1">
      <c r="A48" s="12">
        <v>34</v>
      </c>
      <c r="B48" s="12"/>
      <c r="C48" s="13"/>
      <c r="D48" s="13"/>
      <c r="E48" s="13"/>
      <c r="F48" s="14"/>
      <c r="G48" s="15"/>
      <c r="H48" s="15"/>
      <c r="I48" s="24"/>
      <c r="J48" s="17"/>
      <c r="K48" s="18"/>
      <c r="L48" s="19"/>
      <c r="M48" s="20"/>
      <c r="N48" s="21"/>
      <c r="O48" s="30"/>
      <c r="P48" s="30"/>
      <c r="Q48" s="23"/>
      <c r="R48" s="24"/>
      <c r="U48" t="s">
        <v>277</v>
      </c>
      <c r="Y48" t="s">
        <v>278</v>
      </c>
      <c r="AA48" t="s">
        <v>279</v>
      </c>
      <c r="AB48" t="s">
        <v>280</v>
      </c>
      <c r="AC48" t="s">
        <v>281</v>
      </c>
    </row>
    <row r="49" spans="1:32" ht="22.15" customHeight="1">
      <c r="A49" s="12">
        <v>35</v>
      </c>
      <c r="B49" s="12"/>
      <c r="C49" s="13"/>
      <c r="D49" s="13"/>
      <c r="E49" s="13"/>
      <c r="F49" s="14"/>
      <c r="G49" s="15"/>
      <c r="H49" s="15"/>
      <c r="I49" s="24"/>
      <c r="J49" s="17"/>
      <c r="K49" s="18"/>
      <c r="L49" s="19"/>
      <c r="M49" s="20"/>
      <c r="N49" s="21"/>
      <c r="O49" s="30"/>
      <c r="P49" s="30"/>
      <c r="Q49" s="23"/>
      <c r="R49" s="24"/>
      <c r="AA49" t="s">
        <v>282</v>
      </c>
      <c r="AB49" t="s">
        <v>283</v>
      </c>
      <c r="AC49" t="s">
        <v>284</v>
      </c>
    </row>
    <row r="50" spans="1:32" ht="22.15" customHeight="1">
      <c r="A50" s="12">
        <v>36</v>
      </c>
      <c r="B50" s="12"/>
      <c r="C50" s="13"/>
      <c r="D50" s="13"/>
      <c r="E50" s="13"/>
      <c r="F50" s="14"/>
      <c r="G50" s="15"/>
      <c r="H50" s="15"/>
      <c r="I50" s="24"/>
      <c r="J50" s="17"/>
      <c r="K50" s="18"/>
      <c r="L50" s="19"/>
      <c r="M50" s="20"/>
      <c r="N50" s="21"/>
      <c r="O50" s="30"/>
      <c r="P50" s="30"/>
      <c r="Q50" s="23"/>
      <c r="R50" s="24"/>
      <c r="U50" t="s">
        <v>285</v>
      </c>
      <c r="Y50" t="s">
        <v>286</v>
      </c>
      <c r="AA50" t="s">
        <v>287</v>
      </c>
      <c r="AB50" t="s">
        <v>288</v>
      </c>
      <c r="AC50" t="s">
        <v>289</v>
      </c>
    </row>
    <row r="51" spans="1:32" ht="22.15" customHeight="1">
      <c r="A51" s="12">
        <v>37</v>
      </c>
      <c r="B51" s="12"/>
      <c r="C51" s="13"/>
      <c r="D51" s="13"/>
      <c r="E51" s="13"/>
      <c r="F51" s="14"/>
      <c r="G51" s="15"/>
      <c r="H51" s="15"/>
      <c r="I51" s="24"/>
      <c r="J51" s="17"/>
      <c r="K51" s="18"/>
      <c r="L51" s="19"/>
      <c r="M51" s="20"/>
      <c r="N51" s="21"/>
      <c r="O51" s="30"/>
      <c r="P51" s="30"/>
      <c r="Q51" s="23"/>
      <c r="R51" s="24"/>
      <c r="U51" t="s">
        <v>290</v>
      </c>
    </row>
    <row r="52" spans="1:32" ht="22.15" customHeight="1">
      <c r="A52" s="12">
        <v>38</v>
      </c>
      <c r="B52" s="12"/>
      <c r="C52" s="13"/>
      <c r="D52" s="13"/>
      <c r="E52" s="13"/>
      <c r="F52" s="14"/>
      <c r="G52" s="15"/>
      <c r="H52" s="15"/>
      <c r="I52" s="24"/>
      <c r="J52" s="17"/>
      <c r="K52" s="18"/>
      <c r="L52" s="19"/>
      <c r="M52" s="20"/>
      <c r="N52" s="21"/>
      <c r="O52" s="30"/>
      <c r="P52" s="30"/>
      <c r="Q52" s="23"/>
      <c r="R52" s="24"/>
      <c r="U52" t="s">
        <v>291</v>
      </c>
      <c r="Y52" t="s">
        <v>292</v>
      </c>
      <c r="AA52" t="s">
        <v>293</v>
      </c>
      <c r="AB52" t="s">
        <v>294</v>
      </c>
      <c r="AC52" t="s">
        <v>295</v>
      </c>
    </row>
    <row r="53" spans="1:32" ht="22.15" customHeight="1">
      <c r="A53" s="12">
        <v>39</v>
      </c>
      <c r="B53" s="12"/>
      <c r="C53" s="13"/>
      <c r="D53" s="13"/>
      <c r="E53" s="13"/>
      <c r="F53" s="14"/>
      <c r="G53" s="15"/>
      <c r="H53" s="15"/>
      <c r="I53" s="24"/>
      <c r="J53" s="17"/>
      <c r="K53" s="18"/>
      <c r="L53" s="19"/>
      <c r="M53" s="20"/>
      <c r="N53" s="21"/>
      <c r="O53" s="30"/>
      <c r="P53" s="30"/>
      <c r="Q53" s="23"/>
      <c r="R53" s="24"/>
      <c r="AA53" t="s">
        <v>296</v>
      </c>
      <c r="AB53" t="s">
        <v>297</v>
      </c>
      <c r="AC53" t="s">
        <v>298</v>
      </c>
    </row>
    <row r="54" spans="1:32" ht="22.15" customHeight="1">
      <c r="A54" s="12">
        <v>40</v>
      </c>
      <c r="B54" s="12"/>
      <c r="C54" s="13"/>
      <c r="D54" s="13"/>
      <c r="E54" s="13"/>
      <c r="F54" s="14"/>
      <c r="G54" s="15"/>
      <c r="H54" s="15"/>
      <c r="I54" s="24"/>
      <c r="J54" s="17"/>
      <c r="K54" s="18"/>
      <c r="L54" s="19"/>
      <c r="M54" s="20"/>
      <c r="N54" s="21"/>
      <c r="O54" s="30"/>
      <c r="P54" s="30"/>
      <c r="Q54" s="23"/>
      <c r="R54" s="24"/>
      <c r="U54" t="s">
        <v>299</v>
      </c>
      <c r="AB54" t="s">
        <v>300</v>
      </c>
      <c r="AC54" t="s">
        <v>301</v>
      </c>
    </row>
    <row r="55" spans="1:32" ht="18" customHeight="1">
      <c r="A55" s="47" t="s">
        <v>302</v>
      </c>
      <c r="B55" s="48"/>
      <c r="C55" s="48"/>
      <c r="D55" s="48"/>
      <c r="E55" s="49"/>
      <c r="F55" s="50" t="s">
        <v>183</v>
      </c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2"/>
      <c r="U55" t="s">
        <v>303</v>
      </c>
      <c r="AA55" s="27" t="s">
        <v>304</v>
      </c>
    </row>
    <row r="56" spans="1:32" ht="18" customHeight="1">
      <c r="A56" s="12">
        <v>1</v>
      </c>
      <c r="B56" s="47" t="s">
        <v>187</v>
      </c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9"/>
      <c r="AA56" s="27" t="s">
        <v>188</v>
      </c>
      <c r="AB56" s="27" t="s">
        <v>189</v>
      </c>
      <c r="AC56" s="27" t="s">
        <v>190</v>
      </c>
    </row>
    <row r="57" spans="1:32" ht="18" customHeight="1">
      <c r="A57" s="23">
        <v>2</v>
      </c>
      <c r="B57" s="53" t="s">
        <v>191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5"/>
      <c r="U57" t="s">
        <v>192</v>
      </c>
      <c r="V57" s="16" t="s">
        <v>193</v>
      </c>
      <c r="W57" t="s">
        <v>194</v>
      </c>
      <c r="Y57" t="s">
        <v>195</v>
      </c>
      <c r="AA57" s="16" t="s">
        <v>173</v>
      </c>
      <c r="AB57" s="16" t="s">
        <v>174</v>
      </c>
      <c r="AC57" s="16" t="s">
        <v>139</v>
      </c>
      <c r="AD57" s="16" t="s">
        <v>196</v>
      </c>
    </row>
    <row r="58" spans="1:32" ht="18" customHeight="1">
      <c r="A58" s="23">
        <v>3</v>
      </c>
      <c r="B58" s="47" t="s">
        <v>197</v>
      </c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9"/>
      <c r="V58" s="16" t="s">
        <v>198</v>
      </c>
      <c r="X58" s="16" t="s">
        <v>199</v>
      </c>
      <c r="Y58" t="s">
        <v>200</v>
      </c>
      <c r="AA58" s="16" t="s">
        <v>179</v>
      </c>
      <c r="AB58" s="16" t="s">
        <v>180</v>
      </c>
      <c r="AC58" s="16" t="s">
        <v>147</v>
      </c>
      <c r="AD58" s="16" t="s">
        <v>201</v>
      </c>
    </row>
    <row r="59" spans="1:32" ht="18" customHeight="1">
      <c r="A59" s="37" t="s">
        <v>202</v>
      </c>
      <c r="B59" s="38"/>
      <c r="C59" s="39">
        <f>C29</f>
        <v>0</v>
      </c>
      <c r="D59" s="39"/>
      <c r="E59" s="37" t="s">
        <v>203</v>
      </c>
      <c r="F59" s="40"/>
      <c r="G59" s="41">
        <f>G29</f>
        <v>0</v>
      </c>
      <c r="H59" s="42"/>
      <c r="I59" s="42"/>
      <c r="J59" s="42"/>
      <c r="K59" s="28" t="s">
        <v>204</v>
      </c>
      <c r="L59" s="43" t="s">
        <v>205</v>
      </c>
      <c r="M59" s="43"/>
      <c r="N59" s="43"/>
      <c r="O59" s="43"/>
      <c r="P59" s="43"/>
      <c r="Q59" s="43"/>
      <c r="R59" s="43"/>
      <c r="U59" t="s">
        <v>206</v>
      </c>
      <c r="W59" s="16" t="s">
        <v>207</v>
      </c>
      <c r="X59" s="16" t="s">
        <v>208</v>
      </c>
    </row>
    <row r="60" spans="1:32" ht="18" customHeight="1">
      <c r="A60" s="37" t="s">
        <v>209</v>
      </c>
      <c r="B60" s="38"/>
      <c r="C60" s="82">
        <f>C30</f>
        <v>0</v>
      </c>
      <c r="D60" s="82"/>
      <c r="E60" s="37" t="s">
        <v>210</v>
      </c>
      <c r="F60" s="40"/>
      <c r="G60" s="41">
        <f>G30</f>
        <v>0</v>
      </c>
      <c r="H60" s="42"/>
      <c r="I60" s="42"/>
      <c r="J60" s="42"/>
      <c r="K60" s="28" t="s">
        <v>204</v>
      </c>
      <c r="L60" s="43" t="s">
        <v>205</v>
      </c>
      <c r="M60" s="43"/>
      <c r="N60" s="43"/>
      <c r="O60" s="43"/>
      <c r="P60" s="43"/>
      <c r="Q60" s="43"/>
      <c r="R60" s="43"/>
      <c r="V60" s="16" t="s">
        <v>211</v>
      </c>
      <c r="W60" s="16" t="s">
        <v>212</v>
      </c>
      <c r="Y60" t="s">
        <v>213</v>
      </c>
      <c r="AA60" s="16" t="s">
        <v>214</v>
      </c>
      <c r="AB60" s="16" t="s">
        <v>214</v>
      </c>
      <c r="AC60" s="16" t="s">
        <v>215</v>
      </c>
      <c r="AD60" s="16" t="s">
        <v>216</v>
      </c>
    </row>
    <row r="61" spans="1:32" ht="48" customHeight="1">
      <c r="A61" s="69" t="s">
        <v>0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1" t="s">
        <v>1</v>
      </c>
      <c r="M61" s="71"/>
      <c r="N61" s="71"/>
      <c r="O61" s="71"/>
      <c r="P61" s="71"/>
      <c r="Q61" s="1" t="s">
        <v>2</v>
      </c>
      <c r="R61" s="2" t="s">
        <v>3</v>
      </c>
      <c r="S61" s="3"/>
      <c r="T61" s="3" t="s">
        <v>4</v>
      </c>
      <c r="U61" s="4" t="s">
        <v>5</v>
      </c>
      <c r="V61" s="4" t="s">
        <v>6</v>
      </c>
      <c r="W61" s="4" t="s">
        <v>7</v>
      </c>
      <c r="X61" s="4" t="s">
        <v>8</v>
      </c>
      <c r="Y61" s="4" t="s">
        <v>9</v>
      </c>
      <c r="Z61" s="4"/>
      <c r="AA61" s="4" t="s">
        <v>10</v>
      </c>
      <c r="AB61" s="4" t="s">
        <v>11</v>
      </c>
      <c r="AC61" s="4" t="s">
        <v>12</v>
      </c>
      <c r="AD61" s="4" t="s">
        <v>13</v>
      </c>
      <c r="AE61" s="4" t="s">
        <v>14</v>
      </c>
      <c r="AF61" s="4" t="s">
        <v>15</v>
      </c>
    </row>
    <row r="62" spans="1:32" s="8" customFormat="1" ht="18" customHeight="1">
      <c r="A62" s="5" t="s">
        <v>16</v>
      </c>
      <c r="B62" s="44">
        <f>B2</f>
        <v>0</v>
      </c>
      <c r="C62" s="45"/>
      <c r="D62" s="45"/>
      <c r="E62" s="6" t="str">
        <f>E2</f>
        <v>Version:1</v>
      </c>
      <c r="F62" s="72" t="s">
        <v>18</v>
      </c>
      <c r="G62" s="74" t="s">
        <v>19</v>
      </c>
      <c r="H62" s="74" t="s">
        <v>20</v>
      </c>
      <c r="I62" s="77" t="s">
        <v>21</v>
      </c>
      <c r="J62" s="62" t="s">
        <v>22</v>
      </c>
      <c r="K62" s="79" t="s">
        <v>23</v>
      </c>
      <c r="L62" s="62" t="s">
        <v>24</v>
      </c>
      <c r="M62" s="56" t="s">
        <v>25</v>
      </c>
      <c r="N62" s="59" t="s">
        <v>26</v>
      </c>
      <c r="O62" s="62" t="s">
        <v>27</v>
      </c>
      <c r="P62" s="65" t="s">
        <v>28</v>
      </c>
      <c r="Q62" s="66" t="s">
        <v>29</v>
      </c>
      <c r="R62" s="68" t="s">
        <v>30</v>
      </c>
      <c r="S62"/>
      <c r="T62" s="7" t="str">
        <f>IF(C95&gt;18,IF(C95=20,Nennweite20,IF(C95=60,U64,IF(C95=50,Nennweite50,IF(C95=25,Nennweite25,IF(C95=32,Nennweite32,IF(C95=40,Nennweite40,"&gt;")))))),IF(C95=8,Nennweite8,IF(C95=6,Nennweite6,IF(C95=10,Nennweite10,IF(C95=18,Nennweite18,IF(C95=16,Nennweite16,IF(C95=12,Nennweite12,"")))))))</f>
        <v/>
      </c>
      <c r="U62" t="s">
        <v>31</v>
      </c>
      <c r="V62" t="s">
        <v>32</v>
      </c>
      <c r="W62" t="s">
        <v>33</v>
      </c>
      <c r="X62" t="s">
        <v>34</v>
      </c>
      <c r="Y62" t="s">
        <v>35</v>
      </c>
      <c r="Z62"/>
      <c r="AA62" t="s">
        <v>36</v>
      </c>
      <c r="AB62" t="s">
        <v>37</v>
      </c>
      <c r="AC62" t="s">
        <v>38</v>
      </c>
      <c r="AD62" t="s">
        <v>39</v>
      </c>
      <c r="AE62" t="s">
        <v>40</v>
      </c>
      <c r="AF62" t="s">
        <v>41</v>
      </c>
    </row>
    <row r="63" spans="1:32" ht="18" customHeight="1">
      <c r="A63" s="5" t="s">
        <v>42</v>
      </c>
      <c r="B63" s="44">
        <f>B3</f>
        <v>0</v>
      </c>
      <c r="C63" s="45"/>
      <c r="D63" s="45"/>
      <c r="E63" s="46"/>
      <c r="F63" s="72"/>
      <c r="G63" s="75"/>
      <c r="H63" s="75"/>
      <c r="I63" s="77"/>
      <c r="J63" s="63"/>
      <c r="K63" s="80"/>
      <c r="L63" s="63"/>
      <c r="M63" s="57"/>
      <c r="N63" s="60"/>
      <c r="O63" s="63"/>
      <c r="P63" s="63"/>
      <c r="Q63" s="66"/>
      <c r="R63" s="66"/>
      <c r="U63" t="s">
        <v>43</v>
      </c>
      <c r="V63" t="s">
        <v>44</v>
      </c>
      <c r="W63" t="s">
        <v>45</v>
      </c>
      <c r="X63" t="s">
        <v>46</v>
      </c>
      <c r="Y63" t="s">
        <v>47</v>
      </c>
      <c r="AA63" t="s">
        <v>48</v>
      </c>
      <c r="AB63" t="s">
        <v>49</v>
      </c>
      <c r="AC63" t="s">
        <v>50</v>
      </c>
      <c r="AD63" t="s">
        <v>51</v>
      </c>
      <c r="AE63" t="s">
        <v>52</v>
      </c>
      <c r="AF63" t="s">
        <v>53</v>
      </c>
    </row>
    <row r="64" spans="1:32" ht="18" customHeight="1" thickBot="1">
      <c r="A64" s="9" t="s">
        <v>54</v>
      </c>
      <c r="B64" s="10" t="s">
        <v>55</v>
      </c>
      <c r="C64" s="10" t="s">
        <v>56</v>
      </c>
      <c r="D64" s="11" t="s">
        <v>57</v>
      </c>
      <c r="E64" s="9" t="s">
        <v>58</v>
      </c>
      <c r="F64" s="73"/>
      <c r="G64" s="76"/>
      <c r="H64" s="76"/>
      <c r="I64" s="78"/>
      <c r="J64" s="64"/>
      <c r="K64" s="81"/>
      <c r="L64" s="64"/>
      <c r="M64" s="58"/>
      <c r="N64" s="61"/>
      <c r="O64" s="64"/>
      <c r="P64" s="64"/>
      <c r="Q64" s="67"/>
      <c r="R64" s="67"/>
      <c r="U64" t="s">
        <v>59</v>
      </c>
      <c r="V64" t="s">
        <v>60</v>
      </c>
      <c r="W64" t="s">
        <v>61</v>
      </c>
      <c r="X64" t="s">
        <v>62</v>
      </c>
      <c r="Y64" t="s">
        <v>63</v>
      </c>
      <c r="AA64" t="s">
        <v>64</v>
      </c>
      <c r="AB64" t="s">
        <v>65</v>
      </c>
      <c r="AC64" t="s">
        <v>66</v>
      </c>
      <c r="AD64" t="s">
        <v>67</v>
      </c>
      <c r="AE64" t="s">
        <v>68</v>
      </c>
      <c r="AF64" t="s">
        <v>69</v>
      </c>
    </row>
    <row r="65" spans="1:28" ht="22.15" customHeight="1">
      <c r="A65" s="12">
        <v>41</v>
      </c>
      <c r="B65" s="13"/>
      <c r="C65" s="13"/>
      <c r="D65" s="13"/>
      <c r="E65" s="13"/>
      <c r="F65" s="14"/>
      <c r="G65" s="15"/>
      <c r="H65" s="15"/>
      <c r="I65" s="24"/>
      <c r="J65" s="17"/>
      <c r="K65" s="18"/>
      <c r="L65" s="19"/>
      <c r="M65" s="20"/>
      <c r="N65" s="21"/>
      <c r="O65" s="30"/>
      <c r="P65" s="30"/>
      <c r="Q65" s="23"/>
      <c r="R65" s="24"/>
    </row>
    <row r="66" spans="1:28" ht="22.15" customHeight="1">
      <c r="A66" s="12">
        <v>42</v>
      </c>
      <c r="B66" s="13"/>
      <c r="C66" s="13"/>
      <c r="D66" s="13"/>
      <c r="E66" s="13"/>
      <c r="F66" s="14"/>
      <c r="G66" s="15"/>
      <c r="H66" s="15"/>
      <c r="I66" s="24"/>
      <c r="J66" s="17"/>
      <c r="K66" s="18"/>
      <c r="L66" s="19"/>
      <c r="M66" s="20"/>
      <c r="N66" s="21"/>
      <c r="O66" s="30"/>
      <c r="P66" s="30"/>
      <c r="Q66" s="23"/>
      <c r="R66" s="24"/>
      <c r="AA66" t="s">
        <v>305</v>
      </c>
      <c r="AB66" t="s">
        <v>306</v>
      </c>
    </row>
    <row r="67" spans="1:28" ht="22.15" customHeight="1">
      <c r="A67" s="12">
        <v>43</v>
      </c>
      <c r="B67" s="13"/>
      <c r="C67" s="13"/>
      <c r="D67" s="13"/>
      <c r="E67" s="13"/>
      <c r="F67" s="14"/>
      <c r="G67" s="15"/>
      <c r="H67" s="15"/>
      <c r="I67" s="24"/>
      <c r="J67" s="17"/>
      <c r="K67" s="18"/>
      <c r="L67" s="19"/>
      <c r="M67" s="20"/>
      <c r="N67" s="21"/>
      <c r="O67" s="30"/>
      <c r="P67" s="30"/>
      <c r="Q67" s="23"/>
      <c r="R67" s="24"/>
    </row>
    <row r="68" spans="1:28" ht="22.15" customHeight="1">
      <c r="A68" s="12">
        <v>44</v>
      </c>
      <c r="B68" s="12"/>
      <c r="C68" s="13"/>
      <c r="D68" s="13"/>
      <c r="E68" s="13"/>
      <c r="F68" s="14"/>
      <c r="G68" s="15"/>
      <c r="H68" s="15"/>
      <c r="I68" s="24"/>
      <c r="J68" s="17"/>
      <c r="K68" s="18"/>
      <c r="L68" s="19"/>
      <c r="M68" s="20"/>
      <c r="N68" s="21"/>
      <c r="O68" s="30"/>
      <c r="P68" s="30"/>
      <c r="Q68" s="23"/>
      <c r="R68" s="24"/>
      <c r="AA68" t="s">
        <v>307</v>
      </c>
      <c r="AB68" t="s">
        <v>308</v>
      </c>
    </row>
    <row r="69" spans="1:28" ht="22.15" customHeight="1">
      <c r="A69" s="12">
        <v>45</v>
      </c>
      <c r="B69" s="12"/>
      <c r="C69" s="13"/>
      <c r="D69" s="13"/>
      <c r="E69" s="13"/>
      <c r="F69" s="14"/>
      <c r="G69" s="15"/>
      <c r="H69" s="15"/>
      <c r="I69" s="24"/>
      <c r="J69" s="17"/>
      <c r="K69" s="18"/>
      <c r="L69" s="19"/>
      <c r="M69" s="20"/>
      <c r="N69" s="21"/>
      <c r="O69" s="30"/>
      <c r="P69" s="30"/>
      <c r="Q69" s="23"/>
      <c r="R69" s="24"/>
      <c r="AA69" t="s">
        <v>309</v>
      </c>
    </row>
    <row r="70" spans="1:28" ht="22.15" customHeight="1">
      <c r="A70" s="12">
        <v>46</v>
      </c>
      <c r="B70" s="12"/>
      <c r="C70" s="13"/>
      <c r="D70" s="13"/>
      <c r="E70" s="13"/>
      <c r="F70" s="14"/>
      <c r="G70" s="15"/>
      <c r="H70" s="15"/>
      <c r="I70" s="24"/>
      <c r="J70" s="17"/>
      <c r="K70" s="18"/>
      <c r="L70" s="19"/>
      <c r="M70" s="20"/>
      <c r="N70" s="21"/>
      <c r="O70" s="30"/>
      <c r="P70" s="30"/>
      <c r="Q70" s="23"/>
      <c r="R70" s="24"/>
      <c r="AA70" t="s">
        <v>310</v>
      </c>
      <c r="AB70" t="s">
        <v>311</v>
      </c>
    </row>
    <row r="71" spans="1:28" ht="22.15" customHeight="1">
      <c r="A71" s="12">
        <v>47</v>
      </c>
      <c r="B71" s="12"/>
      <c r="C71" s="13"/>
      <c r="D71" s="13"/>
      <c r="E71" s="13"/>
      <c r="F71" s="14"/>
      <c r="G71" s="15"/>
      <c r="H71" s="15"/>
      <c r="I71" s="24"/>
      <c r="J71" s="17"/>
      <c r="K71" s="18"/>
      <c r="L71" s="19"/>
      <c r="M71" s="20"/>
      <c r="N71" s="21"/>
      <c r="O71" s="30"/>
      <c r="P71" s="30"/>
      <c r="Q71" s="23"/>
      <c r="R71" s="24"/>
      <c r="AB71" t="s">
        <v>312</v>
      </c>
    </row>
    <row r="72" spans="1:28" ht="22.15" customHeight="1">
      <c r="A72" s="12">
        <v>48</v>
      </c>
      <c r="B72" s="12"/>
      <c r="C72" s="13"/>
      <c r="D72" s="13"/>
      <c r="E72" s="13"/>
      <c r="F72" s="14"/>
      <c r="G72" s="15"/>
      <c r="H72" s="15"/>
      <c r="I72" s="24"/>
      <c r="J72" s="17"/>
      <c r="K72" s="18"/>
      <c r="L72" s="19"/>
      <c r="M72" s="20"/>
      <c r="N72" s="21"/>
      <c r="O72" s="30"/>
      <c r="P72" s="30"/>
      <c r="Q72" s="23"/>
      <c r="R72" s="24"/>
      <c r="AA72" t="s">
        <v>313</v>
      </c>
      <c r="AB72" t="s">
        <v>314</v>
      </c>
    </row>
    <row r="73" spans="1:28" ht="22.15" customHeight="1">
      <c r="A73" s="12">
        <v>49</v>
      </c>
      <c r="B73" s="12"/>
      <c r="C73" s="13"/>
      <c r="D73" s="13"/>
      <c r="E73" s="13"/>
      <c r="F73" s="14"/>
      <c r="G73" s="15"/>
      <c r="H73" s="15"/>
      <c r="I73" s="24"/>
      <c r="J73" s="17"/>
      <c r="K73" s="18"/>
      <c r="L73" s="19"/>
      <c r="M73" s="20"/>
      <c r="N73" s="21"/>
      <c r="O73" s="30"/>
      <c r="P73" s="30"/>
      <c r="Q73" s="23"/>
      <c r="R73" s="24"/>
      <c r="AA73" t="s">
        <v>315</v>
      </c>
    </row>
    <row r="74" spans="1:28" ht="22.15" customHeight="1">
      <c r="A74" s="12">
        <v>50</v>
      </c>
      <c r="B74" s="12"/>
      <c r="C74" s="13"/>
      <c r="D74" s="13"/>
      <c r="E74" s="13"/>
      <c r="F74" s="14"/>
      <c r="G74" s="15"/>
      <c r="H74" s="15"/>
      <c r="I74" s="24"/>
      <c r="J74" s="17"/>
      <c r="K74" s="18"/>
      <c r="L74" s="19"/>
      <c r="M74" s="20"/>
      <c r="N74" s="21"/>
      <c r="O74" s="30"/>
      <c r="P74" s="30"/>
      <c r="Q74" s="23"/>
      <c r="R74" s="24"/>
      <c r="AA74" t="s">
        <v>316</v>
      </c>
    </row>
    <row r="75" spans="1:28" ht="22.15" customHeight="1">
      <c r="A75" s="12">
        <v>51</v>
      </c>
      <c r="B75" s="12"/>
      <c r="C75" s="13"/>
      <c r="D75" s="13"/>
      <c r="E75" s="13"/>
      <c r="F75" s="14"/>
      <c r="G75" s="15"/>
      <c r="H75" s="15"/>
      <c r="I75" s="24"/>
      <c r="J75" s="17"/>
      <c r="K75" s="18"/>
      <c r="L75" s="19"/>
      <c r="M75" s="20"/>
      <c r="N75" s="21"/>
      <c r="O75" s="30"/>
      <c r="P75" s="30"/>
      <c r="Q75" s="23"/>
      <c r="R75" s="24"/>
    </row>
    <row r="76" spans="1:28" ht="22.15" customHeight="1">
      <c r="A76" s="12">
        <v>52</v>
      </c>
      <c r="B76" s="12"/>
      <c r="C76" s="13"/>
      <c r="D76" s="13"/>
      <c r="E76" s="13"/>
      <c r="F76" s="14"/>
      <c r="G76" s="15"/>
      <c r="H76" s="15"/>
      <c r="I76" s="24"/>
      <c r="J76" s="17"/>
      <c r="K76" s="18"/>
      <c r="L76" s="19"/>
      <c r="M76" s="20"/>
      <c r="N76" s="21"/>
      <c r="O76" s="30"/>
      <c r="P76" s="30"/>
      <c r="Q76" s="23"/>
      <c r="R76" s="24"/>
      <c r="AA76" t="s">
        <v>317</v>
      </c>
    </row>
    <row r="77" spans="1:28" ht="22.15" customHeight="1">
      <c r="A77" s="12">
        <v>53</v>
      </c>
      <c r="B77" s="12"/>
      <c r="C77" s="13"/>
      <c r="D77" s="13"/>
      <c r="E77" s="13"/>
      <c r="F77" s="14"/>
      <c r="G77" s="15"/>
      <c r="H77" s="15"/>
      <c r="I77" s="24"/>
      <c r="J77" s="17"/>
      <c r="K77" s="18"/>
      <c r="L77" s="19"/>
      <c r="M77" s="20"/>
      <c r="N77" s="21"/>
      <c r="O77" s="30"/>
      <c r="P77" s="30"/>
      <c r="Q77" s="23"/>
      <c r="R77" s="24"/>
      <c r="AA77" t="s">
        <v>318</v>
      </c>
    </row>
    <row r="78" spans="1:28" ht="22.15" customHeight="1">
      <c r="A78" s="12">
        <v>54</v>
      </c>
      <c r="B78" s="12"/>
      <c r="C78" s="13"/>
      <c r="D78" s="13"/>
      <c r="E78" s="13"/>
      <c r="F78" s="14"/>
      <c r="G78" s="15"/>
      <c r="H78" s="15"/>
      <c r="I78" s="24"/>
      <c r="J78" s="17"/>
      <c r="K78" s="18"/>
      <c r="L78" s="19"/>
      <c r="M78" s="20"/>
      <c r="N78" s="21"/>
      <c r="O78" s="30"/>
      <c r="P78" s="30"/>
      <c r="Q78" s="23"/>
      <c r="R78" s="24"/>
      <c r="AA78" t="s">
        <v>319</v>
      </c>
    </row>
    <row r="79" spans="1:28" ht="22.15" customHeight="1">
      <c r="A79" s="12">
        <v>55</v>
      </c>
      <c r="B79" s="12"/>
      <c r="C79" s="13"/>
      <c r="D79" s="13"/>
      <c r="E79" s="13"/>
      <c r="F79" s="14"/>
      <c r="G79" s="15"/>
      <c r="H79" s="15"/>
      <c r="I79" s="24"/>
      <c r="J79" s="17"/>
      <c r="K79" s="18"/>
      <c r="L79" s="19"/>
      <c r="M79" s="20"/>
      <c r="N79" s="21"/>
      <c r="O79" s="30"/>
      <c r="P79" s="30"/>
      <c r="Q79" s="23"/>
      <c r="R79" s="24"/>
    </row>
    <row r="80" spans="1:28" ht="22.15" customHeight="1">
      <c r="A80" s="12">
        <v>56</v>
      </c>
      <c r="B80" s="12"/>
      <c r="C80" s="13"/>
      <c r="D80" s="13"/>
      <c r="E80" s="13"/>
      <c r="F80" s="14"/>
      <c r="G80" s="15"/>
      <c r="H80" s="15"/>
      <c r="I80" s="24"/>
      <c r="J80" s="17"/>
      <c r="K80" s="18"/>
      <c r="L80" s="19"/>
      <c r="M80" s="20"/>
      <c r="N80" s="21"/>
      <c r="O80" s="30"/>
      <c r="P80" s="30"/>
      <c r="Q80" s="23"/>
      <c r="R80" s="24"/>
    </row>
    <row r="81" spans="1:32" ht="22.15" customHeight="1">
      <c r="A81" s="12">
        <v>57</v>
      </c>
      <c r="B81" s="12"/>
      <c r="C81" s="13"/>
      <c r="D81" s="13"/>
      <c r="E81" s="13"/>
      <c r="F81" s="14"/>
      <c r="G81" s="15"/>
      <c r="H81" s="15"/>
      <c r="I81" s="24"/>
      <c r="J81" s="17"/>
      <c r="K81" s="18"/>
      <c r="L81" s="19"/>
      <c r="M81" s="20"/>
      <c r="N81" s="21"/>
      <c r="O81" s="30"/>
      <c r="P81" s="30"/>
      <c r="Q81" s="23"/>
      <c r="R81" s="24"/>
    </row>
    <row r="82" spans="1:32" ht="22.15" customHeight="1">
      <c r="A82" s="12">
        <v>58</v>
      </c>
      <c r="B82" s="12"/>
      <c r="C82" s="13"/>
      <c r="D82" s="13"/>
      <c r="E82" s="13"/>
      <c r="F82" s="14"/>
      <c r="G82" s="15"/>
      <c r="H82" s="15"/>
      <c r="I82" s="24"/>
      <c r="J82" s="17"/>
      <c r="K82" s="18"/>
      <c r="L82" s="19"/>
      <c r="M82" s="20"/>
      <c r="N82" s="21"/>
      <c r="O82" s="30"/>
      <c r="P82" s="30"/>
      <c r="Q82" s="23"/>
      <c r="R82" s="24"/>
    </row>
    <row r="83" spans="1:32" ht="22.15" customHeight="1">
      <c r="A83" s="12">
        <v>59</v>
      </c>
      <c r="B83" s="12"/>
      <c r="C83" s="13"/>
      <c r="D83" s="13"/>
      <c r="E83" s="13"/>
      <c r="F83" s="14"/>
      <c r="G83" s="15"/>
      <c r="H83" s="15"/>
      <c r="I83" s="24"/>
      <c r="J83" s="17"/>
      <c r="K83" s="18"/>
      <c r="L83" s="19"/>
      <c r="M83" s="20"/>
      <c r="N83" s="21"/>
      <c r="O83" s="30"/>
      <c r="P83" s="30"/>
      <c r="Q83" s="23"/>
      <c r="R83" s="24"/>
    </row>
    <row r="84" spans="1:32" ht="22.15" customHeight="1">
      <c r="A84" s="12">
        <v>60</v>
      </c>
      <c r="B84" s="12"/>
      <c r="C84" s="13"/>
      <c r="D84" s="13"/>
      <c r="E84" s="13"/>
      <c r="F84" s="14"/>
      <c r="G84" s="15"/>
      <c r="H84" s="15"/>
      <c r="I84" s="24"/>
      <c r="J84" s="17"/>
      <c r="K84" s="18"/>
      <c r="L84" s="19"/>
      <c r="M84" s="20"/>
      <c r="N84" s="21"/>
      <c r="O84" s="30"/>
      <c r="P84" s="30"/>
      <c r="Q84" s="23"/>
      <c r="R84" s="24"/>
    </row>
    <row r="85" spans="1:32" ht="18" customHeight="1">
      <c r="A85" s="47" t="s">
        <v>302</v>
      </c>
      <c r="B85" s="48"/>
      <c r="C85" s="48"/>
      <c r="D85" s="48"/>
      <c r="E85" s="49"/>
      <c r="F85" s="50" t="s">
        <v>183</v>
      </c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2"/>
    </row>
    <row r="86" spans="1:32" ht="18" customHeight="1">
      <c r="A86" s="12">
        <v>1</v>
      </c>
      <c r="B86" s="47" t="s">
        <v>187</v>
      </c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9"/>
      <c r="AA86" s="27" t="s">
        <v>188</v>
      </c>
      <c r="AB86" s="27" t="s">
        <v>189</v>
      </c>
      <c r="AC86" s="27" t="s">
        <v>190</v>
      </c>
    </row>
    <row r="87" spans="1:32" ht="18" customHeight="1">
      <c r="A87" s="23">
        <v>2</v>
      </c>
      <c r="B87" s="53" t="s">
        <v>191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5"/>
      <c r="U87" t="s">
        <v>192</v>
      </c>
      <c r="V87" s="16" t="s">
        <v>193</v>
      </c>
      <c r="W87" t="s">
        <v>194</v>
      </c>
      <c r="Y87" t="s">
        <v>195</v>
      </c>
      <c r="AA87" s="16" t="s">
        <v>173</v>
      </c>
      <c r="AB87" s="16" t="s">
        <v>174</v>
      </c>
      <c r="AC87" s="16" t="s">
        <v>139</v>
      </c>
      <c r="AD87" s="16" t="s">
        <v>196</v>
      </c>
    </row>
    <row r="88" spans="1:32" ht="18" customHeight="1">
      <c r="A88" s="23">
        <v>3</v>
      </c>
      <c r="B88" s="47" t="s">
        <v>197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9"/>
      <c r="V88" s="16" t="s">
        <v>198</v>
      </c>
      <c r="X88" s="16" t="s">
        <v>199</v>
      </c>
      <c r="Y88" t="s">
        <v>200</v>
      </c>
      <c r="AA88" s="16" t="s">
        <v>179</v>
      </c>
      <c r="AB88" s="16" t="s">
        <v>180</v>
      </c>
      <c r="AC88" s="16" t="s">
        <v>147</v>
      </c>
      <c r="AD88" s="16" t="s">
        <v>201</v>
      </c>
    </row>
    <row r="89" spans="1:32" ht="18" customHeight="1">
      <c r="A89" s="37" t="s">
        <v>202</v>
      </c>
      <c r="B89" s="38"/>
      <c r="C89" s="39">
        <f>C29</f>
        <v>0</v>
      </c>
      <c r="D89" s="39"/>
      <c r="E89" s="37" t="s">
        <v>203</v>
      </c>
      <c r="F89" s="40"/>
      <c r="G89" s="41">
        <f>G29</f>
        <v>0</v>
      </c>
      <c r="H89" s="42"/>
      <c r="I89" s="42"/>
      <c r="J89" s="42"/>
      <c r="K89" s="28" t="s">
        <v>204</v>
      </c>
      <c r="L89" s="43" t="s">
        <v>205</v>
      </c>
      <c r="M89" s="43"/>
      <c r="N89" s="43"/>
      <c r="O89" s="43"/>
      <c r="P89" s="43"/>
      <c r="Q89" s="43"/>
      <c r="R89" s="43"/>
      <c r="U89" t="s">
        <v>206</v>
      </c>
      <c r="W89" s="16" t="s">
        <v>207</v>
      </c>
      <c r="X89" s="16" t="s">
        <v>208</v>
      </c>
    </row>
    <row r="90" spans="1:32" ht="18" customHeight="1">
      <c r="A90" s="37" t="s">
        <v>209</v>
      </c>
      <c r="B90" s="38"/>
      <c r="C90" s="82">
        <f>C30</f>
        <v>0</v>
      </c>
      <c r="D90" s="82"/>
      <c r="E90" s="37" t="s">
        <v>210</v>
      </c>
      <c r="F90" s="40"/>
      <c r="G90" s="41">
        <f>G30</f>
        <v>0</v>
      </c>
      <c r="H90" s="42"/>
      <c r="I90" s="42"/>
      <c r="J90" s="42"/>
      <c r="K90" s="28" t="s">
        <v>204</v>
      </c>
      <c r="L90" s="43" t="s">
        <v>205</v>
      </c>
      <c r="M90" s="43"/>
      <c r="N90" s="43"/>
      <c r="O90" s="43"/>
      <c r="P90" s="43"/>
      <c r="Q90" s="43"/>
      <c r="R90" s="43"/>
      <c r="V90" s="16" t="s">
        <v>211</v>
      </c>
      <c r="W90" s="16" t="s">
        <v>212</v>
      </c>
      <c r="Y90" t="s">
        <v>213</v>
      </c>
      <c r="AA90" s="16" t="s">
        <v>214</v>
      </c>
      <c r="AB90" s="16" t="s">
        <v>214</v>
      </c>
      <c r="AC90" s="16" t="s">
        <v>215</v>
      </c>
      <c r="AD90" s="16" t="s">
        <v>216</v>
      </c>
    </row>
    <row r="91" spans="1:32" ht="48" customHeight="1">
      <c r="A91" s="69" t="s">
        <v>0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1" t="s">
        <v>1</v>
      </c>
      <c r="M91" s="71"/>
      <c r="N91" s="71"/>
      <c r="O91" s="71"/>
      <c r="P91" s="71"/>
      <c r="Q91" s="1" t="s">
        <v>2</v>
      </c>
      <c r="R91" s="2" t="s">
        <v>3</v>
      </c>
      <c r="S91" s="3"/>
      <c r="T91" s="3" t="s">
        <v>4</v>
      </c>
      <c r="U91" s="4" t="s">
        <v>5</v>
      </c>
      <c r="V91" s="4" t="s">
        <v>6</v>
      </c>
      <c r="W91" s="4" t="s">
        <v>7</v>
      </c>
      <c r="X91" s="4" t="s">
        <v>8</v>
      </c>
      <c r="Y91" s="4" t="s">
        <v>9</v>
      </c>
      <c r="Z91" s="4"/>
      <c r="AA91" s="4" t="s">
        <v>10</v>
      </c>
      <c r="AB91" s="4" t="s">
        <v>11</v>
      </c>
      <c r="AC91" s="4" t="s">
        <v>12</v>
      </c>
      <c r="AD91" s="4" t="s">
        <v>13</v>
      </c>
      <c r="AE91" s="4" t="s">
        <v>14</v>
      </c>
      <c r="AF91" s="4" t="s">
        <v>15</v>
      </c>
    </row>
    <row r="92" spans="1:32" s="8" customFormat="1" ht="18" customHeight="1">
      <c r="A92" s="5" t="s">
        <v>16</v>
      </c>
      <c r="B92" s="44">
        <f>B2</f>
        <v>0</v>
      </c>
      <c r="C92" s="45"/>
      <c r="D92" s="45"/>
      <c r="E92" s="6" t="str">
        <f>E2</f>
        <v>Version:1</v>
      </c>
      <c r="F92" s="72" t="s">
        <v>18</v>
      </c>
      <c r="G92" s="74" t="s">
        <v>19</v>
      </c>
      <c r="H92" s="74" t="s">
        <v>20</v>
      </c>
      <c r="I92" s="77" t="s">
        <v>21</v>
      </c>
      <c r="J92" s="62" t="s">
        <v>22</v>
      </c>
      <c r="K92" s="79" t="s">
        <v>23</v>
      </c>
      <c r="L92" s="62" t="s">
        <v>24</v>
      </c>
      <c r="M92" s="56" t="s">
        <v>25</v>
      </c>
      <c r="N92" s="59" t="s">
        <v>26</v>
      </c>
      <c r="O92" s="62" t="s">
        <v>27</v>
      </c>
      <c r="P92" s="65" t="s">
        <v>28</v>
      </c>
      <c r="Q92" s="66" t="s">
        <v>29</v>
      </c>
      <c r="R92" s="68" t="s">
        <v>30</v>
      </c>
      <c r="S92"/>
      <c r="T92" s="7" t="str">
        <f>IF(C125&gt;18,IF(C125=20,Nennweite20,IF(C125=60,U94,IF(C125=50,Nennweite50,IF(C125=25,Nennweite25,IF(C125=32,Nennweite32,IF(C125=40,Nennweite40,"&gt;")))))),IF(C125=8,Nennweite8,IF(C125=6,Nennweite6,IF(C125=10,Nennweite10,IF(C125=18,Nennweite18,IF(C125=16,Nennweite16,IF(C125=12,Nennweite12,"")))))))</f>
        <v/>
      </c>
      <c r="U92" t="s">
        <v>31</v>
      </c>
      <c r="V92" t="s">
        <v>32</v>
      </c>
      <c r="W92" t="s">
        <v>33</v>
      </c>
      <c r="X92" t="s">
        <v>34</v>
      </c>
      <c r="Y92" t="s">
        <v>35</v>
      </c>
      <c r="Z92"/>
      <c r="AA92" t="s">
        <v>36</v>
      </c>
      <c r="AB92" t="s">
        <v>37</v>
      </c>
      <c r="AC92" t="s">
        <v>38</v>
      </c>
      <c r="AD92" t="s">
        <v>39</v>
      </c>
      <c r="AE92" t="s">
        <v>40</v>
      </c>
      <c r="AF92" t="s">
        <v>41</v>
      </c>
    </row>
    <row r="93" spans="1:32" ht="18" customHeight="1">
      <c r="A93" s="5" t="s">
        <v>42</v>
      </c>
      <c r="B93" s="44">
        <f>B3</f>
        <v>0</v>
      </c>
      <c r="C93" s="45"/>
      <c r="D93" s="45"/>
      <c r="E93" s="46"/>
      <c r="F93" s="72"/>
      <c r="G93" s="75"/>
      <c r="H93" s="75"/>
      <c r="I93" s="77"/>
      <c r="J93" s="63"/>
      <c r="K93" s="80"/>
      <c r="L93" s="63"/>
      <c r="M93" s="57"/>
      <c r="N93" s="60"/>
      <c r="O93" s="63"/>
      <c r="P93" s="63"/>
      <c r="Q93" s="66"/>
      <c r="R93" s="66"/>
      <c r="U93" t="s">
        <v>43</v>
      </c>
      <c r="V93" t="s">
        <v>44</v>
      </c>
      <c r="W93" t="s">
        <v>45</v>
      </c>
      <c r="X93" t="s">
        <v>46</v>
      </c>
      <c r="Y93" t="s">
        <v>47</v>
      </c>
      <c r="AA93" t="s">
        <v>48</v>
      </c>
      <c r="AB93" t="s">
        <v>49</v>
      </c>
      <c r="AC93" t="s">
        <v>50</v>
      </c>
      <c r="AD93" t="s">
        <v>51</v>
      </c>
      <c r="AE93" t="s">
        <v>52</v>
      </c>
      <c r="AF93" t="s">
        <v>53</v>
      </c>
    </row>
    <row r="94" spans="1:32" ht="18" customHeight="1" thickBot="1">
      <c r="A94" s="9" t="s">
        <v>54</v>
      </c>
      <c r="B94" s="10" t="s">
        <v>55</v>
      </c>
      <c r="C94" s="10" t="s">
        <v>56</v>
      </c>
      <c r="D94" s="11" t="s">
        <v>57</v>
      </c>
      <c r="E94" s="9" t="s">
        <v>58</v>
      </c>
      <c r="F94" s="73"/>
      <c r="G94" s="76"/>
      <c r="H94" s="76"/>
      <c r="I94" s="78"/>
      <c r="J94" s="64"/>
      <c r="K94" s="81"/>
      <c r="L94" s="64"/>
      <c r="M94" s="58"/>
      <c r="N94" s="61"/>
      <c r="O94" s="64"/>
      <c r="P94" s="64"/>
      <c r="Q94" s="67"/>
      <c r="R94" s="67"/>
      <c r="U94" t="s">
        <v>59</v>
      </c>
      <c r="V94" t="s">
        <v>60</v>
      </c>
      <c r="W94" t="s">
        <v>61</v>
      </c>
      <c r="X94" t="s">
        <v>62</v>
      </c>
      <c r="Y94" t="s">
        <v>63</v>
      </c>
      <c r="AA94" t="s">
        <v>64</v>
      </c>
      <c r="AB94" t="s">
        <v>65</v>
      </c>
      <c r="AC94" t="s">
        <v>66</v>
      </c>
      <c r="AD94" t="s">
        <v>67</v>
      </c>
      <c r="AE94" t="s">
        <v>68</v>
      </c>
      <c r="AF94" t="s">
        <v>69</v>
      </c>
    </row>
    <row r="95" spans="1:32" ht="22.15" customHeight="1">
      <c r="A95" s="12">
        <v>61</v>
      </c>
      <c r="B95" s="13"/>
      <c r="C95" s="13"/>
      <c r="D95" s="13"/>
      <c r="E95" s="13"/>
      <c r="F95" s="14"/>
      <c r="G95" s="15"/>
      <c r="H95" s="15"/>
      <c r="I95" s="24"/>
      <c r="J95" s="17"/>
      <c r="K95" s="18"/>
      <c r="L95" s="19"/>
      <c r="M95" s="20"/>
      <c r="N95" s="21"/>
      <c r="O95" s="30"/>
      <c r="P95" s="30"/>
      <c r="Q95" s="23"/>
      <c r="R95" s="24"/>
    </row>
    <row r="96" spans="1:32" ht="22.15" customHeight="1">
      <c r="A96" s="12">
        <v>62</v>
      </c>
      <c r="B96" s="13"/>
      <c r="C96" s="13"/>
      <c r="D96" s="13"/>
      <c r="E96" s="13"/>
      <c r="F96" s="14"/>
      <c r="G96" s="15"/>
      <c r="H96" s="15"/>
      <c r="I96" s="24"/>
      <c r="J96" s="17"/>
      <c r="K96" s="18"/>
      <c r="L96" s="19"/>
      <c r="M96" s="20"/>
      <c r="N96" s="21"/>
      <c r="O96" s="30"/>
      <c r="P96" s="30"/>
      <c r="Q96" s="23"/>
      <c r="R96" s="24"/>
    </row>
    <row r="97" spans="1:18" ht="22.15" customHeight="1">
      <c r="A97" s="12">
        <v>63</v>
      </c>
      <c r="B97" s="13"/>
      <c r="C97" s="13"/>
      <c r="D97" s="13"/>
      <c r="E97" s="13"/>
      <c r="F97" s="14"/>
      <c r="G97" s="15"/>
      <c r="H97" s="15"/>
      <c r="I97" s="24"/>
      <c r="J97" s="17"/>
      <c r="K97" s="18"/>
      <c r="L97" s="19"/>
      <c r="M97" s="20"/>
      <c r="N97" s="21"/>
      <c r="O97" s="30"/>
      <c r="P97" s="30"/>
      <c r="Q97" s="23"/>
      <c r="R97" s="24"/>
    </row>
    <row r="98" spans="1:18" ht="22.15" customHeight="1">
      <c r="A98" s="12">
        <v>64</v>
      </c>
      <c r="B98" s="12"/>
      <c r="C98" s="13"/>
      <c r="D98" s="13"/>
      <c r="E98" s="13"/>
      <c r="F98" s="14"/>
      <c r="G98" s="15"/>
      <c r="H98" s="15"/>
      <c r="I98" s="24"/>
      <c r="J98" s="17"/>
      <c r="K98" s="18"/>
      <c r="L98" s="19"/>
      <c r="M98" s="20"/>
      <c r="N98" s="21"/>
      <c r="O98" s="30"/>
      <c r="P98" s="30"/>
      <c r="Q98" s="23"/>
      <c r="R98" s="24"/>
    </row>
    <row r="99" spans="1:18" ht="22.15" customHeight="1">
      <c r="A99" s="12">
        <v>65</v>
      </c>
      <c r="B99" s="12"/>
      <c r="C99" s="13"/>
      <c r="D99" s="13"/>
      <c r="E99" s="13"/>
      <c r="F99" s="14"/>
      <c r="G99" s="15"/>
      <c r="H99" s="15"/>
      <c r="I99" s="24"/>
      <c r="J99" s="17"/>
      <c r="K99" s="18"/>
      <c r="L99" s="19"/>
      <c r="M99" s="20"/>
      <c r="N99" s="21"/>
      <c r="O99" s="30"/>
      <c r="P99" s="30"/>
      <c r="Q99" s="23"/>
      <c r="R99" s="24"/>
    </row>
    <row r="100" spans="1:18" ht="22.15" customHeight="1">
      <c r="A100" s="12">
        <v>66</v>
      </c>
      <c r="B100" s="12"/>
      <c r="C100" s="13"/>
      <c r="D100" s="13"/>
      <c r="E100" s="13"/>
      <c r="F100" s="14"/>
      <c r="G100" s="15"/>
      <c r="H100" s="15"/>
      <c r="I100" s="24"/>
      <c r="J100" s="17"/>
      <c r="K100" s="18"/>
      <c r="L100" s="19"/>
      <c r="M100" s="20"/>
      <c r="N100" s="21"/>
      <c r="O100" s="30"/>
      <c r="P100" s="30"/>
      <c r="Q100" s="23"/>
      <c r="R100" s="24"/>
    </row>
    <row r="101" spans="1:18" ht="22.15" customHeight="1">
      <c r="A101" s="12">
        <v>67</v>
      </c>
      <c r="B101" s="12"/>
      <c r="C101" s="13"/>
      <c r="D101" s="13"/>
      <c r="E101" s="13"/>
      <c r="F101" s="14"/>
      <c r="G101" s="15"/>
      <c r="H101" s="15"/>
      <c r="I101" s="24"/>
      <c r="J101" s="17"/>
      <c r="K101" s="18"/>
      <c r="L101" s="19"/>
      <c r="M101" s="20"/>
      <c r="N101" s="21"/>
      <c r="O101" s="30"/>
      <c r="P101" s="30"/>
      <c r="Q101" s="23"/>
      <c r="R101" s="24"/>
    </row>
    <row r="102" spans="1:18" ht="22.15" customHeight="1">
      <c r="A102" s="12">
        <v>68</v>
      </c>
      <c r="B102" s="12"/>
      <c r="C102" s="13"/>
      <c r="D102" s="13"/>
      <c r="E102" s="13"/>
      <c r="F102" s="14"/>
      <c r="G102" s="15"/>
      <c r="H102" s="15"/>
      <c r="I102" s="24"/>
      <c r="J102" s="17"/>
      <c r="K102" s="18"/>
      <c r="L102" s="19"/>
      <c r="M102" s="20"/>
      <c r="N102" s="21"/>
      <c r="O102" s="30"/>
      <c r="P102" s="30"/>
      <c r="Q102" s="23"/>
      <c r="R102" s="24"/>
    </row>
    <row r="103" spans="1:18" ht="22.15" customHeight="1">
      <c r="A103" s="12">
        <v>69</v>
      </c>
      <c r="B103" s="12"/>
      <c r="C103" s="13"/>
      <c r="D103" s="13"/>
      <c r="E103" s="13"/>
      <c r="F103" s="14"/>
      <c r="G103" s="15"/>
      <c r="H103" s="15"/>
      <c r="I103" s="24"/>
      <c r="J103" s="17"/>
      <c r="K103" s="18"/>
      <c r="L103" s="19"/>
      <c r="M103" s="20"/>
      <c r="N103" s="21"/>
      <c r="O103" s="30"/>
      <c r="P103" s="30"/>
      <c r="Q103" s="23"/>
      <c r="R103" s="24"/>
    </row>
    <row r="104" spans="1:18" ht="22.15" customHeight="1">
      <c r="A104" s="12">
        <v>70</v>
      </c>
      <c r="B104" s="12"/>
      <c r="C104" s="13"/>
      <c r="D104" s="13"/>
      <c r="E104" s="13"/>
      <c r="F104" s="14"/>
      <c r="G104" s="15"/>
      <c r="H104" s="15"/>
      <c r="I104" s="24"/>
      <c r="J104" s="17"/>
      <c r="K104" s="18"/>
      <c r="L104" s="19"/>
      <c r="M104" s="20"/>
      <c r="N104" s="21"/>
      <c r="O104" s="30"/>
      <c r="P104" s="30"/>
      <c r="Q104" s="23"/>
      <c r="R104" s="24"/>
    </row>
    <row r="105" spans="1:18" ht="22.15" customHeight="1">
      <c r="A105" s="12">
        <v>71</v>
      </c>
      <c r="B105" s="12"/>
      <c r="C105" s="13"/>
      <c r="D105" s="13"/>
      <c r="E105" s="13"/>
      <c r="F105" s="14"/>
      <c r="G105" s="15"/>
      <c r="H105" s="15"/>
      <c r="I105" s="24"/>
      <c r="J105" s="17"/>
      <c r="K105" s="18"/>
      <c r="L105" s="19"/>
      <c r="M105" s="20"/>
      <c r="N105" s="21"/>
      <c r="O105" s="30"/>
      <c r="P105" s="30"/>
      <c r="Q105" s="23"/>
      <c r="R105" s="24"/>
    </row>
    <row r="106" spans="1:18" ht="22.15" customHeight="1">
      <c r="A106" s="12">
        <v>72</v>
      </c>
      <c r="B106" s="12"/>
      <c r="C106" s="13"/>
      <c r="D106" s="13"/>
      <c r="E106" s="13"/>
      <c r="F106" s="14"/>
      <c r="G106" s="15"/>
      <c r="H106" s="15"/>
      <c r="I106" s="24"/>
      <c r="J106" s="17"/>
      <c r="K106" s="18"/>
      <c r="L106" s="19"/>
      <c r="M106" s="20"/>
      <c r="N106" s="21"/>
      <c r="O106" s="30"/>
      <c r="P106" s="30"/>
      <c r="Q106" s="23"/>
      <c r="R106" s="24"/>
    </row>
    <row r="107" spans="1:18" ht="22.15" customHeight="1">
      <c r="A107" s="12">
        <v>73</v>
      </c>
      <c r="B107" s="12"/>
      <c r="C107" s="13"/>
      <c r="D107" s="13"/>
      <c r="E107" s="13"/>
      <c r="F107" s="14"/>
      <c r="G107" s="15"/>
      <c r="H107" s="15"/>
      <c r="I107" s="24"/>
      <c r="J107" s="17"/>
      <c r="K107" s="18"/>
      <c r="L107" s="19"/>
      <c r="M107" s="20"/>
      <c r="N107" s="21"/>
      <c r="O107" s="30"/>
      <c r="P107" s="30"/>
      <c r="Q107" s="23"/>
      <c r="R107" s="24"/>
    </row>
    <row r="108" spans="1:18" ht="22.15" customHeight="1">
      <c r="A108" s="12">
        <v>74</v>
      </c>
      <c r="B108" s="12"/>
      <c r="C108" s="13"/>
      <c r="D108" s="13"/>
      <c r="E108" s="13"/>
      <c r="F108" s="14"/>
      <c r="G108" s="15"/>
      <c r="H108" s="15"/>
      <c r="I108" s="24"/>
      <c r="J108" s="17"/>
      <c r="K108" s="18"/>
      <c r="L108" s="19"/>
      <c r="M108" s="20"/>
      <c r="N108" s="21"/>
      <c r="O108" s="30"/>
      <c r="P108" s="30"/>
      <c r="Q108" s="23"/>
      <c r="R108" s="24"/>
    </row>
    <row r="109" spans="1:18" ht="22.15" customHeight="1">
      <c r="A109" s="12">
        <v>75</v>
      </c>
      <c r="B109" s="12"/>
      <c r="C109" s="13"/>
      <c r="D109" s="13"/>
      <c r="E109" s="13"/>
      <c r="F109" s="14"/>
      <c r="G109" s="15"/>
      <c r="H109" s="15"/>
      <c r="I109" s="24"/>
      <c r="J109" s="17"/>
      <c r="K109" s="18"/>
      <c r="L109" s="19"/>
      <c r="M109" s="20"/>
      <c r="N109" s="21"/>
      <c r="O109" s="30"/>
      <c r="P109" s="30"/>
      <c r="Q109" s="23"/>
      <c r="R109" s="24"/>
    </row>
    <row r="110" spans="1:18" ht="22.15" customHeight="1">
      <c r="A110" s="12">
        <v>76</v>
      </c>
      <c r="B110" s="12"/>
      <c r="C110" s="13"/>
      <c r="D110" s="13"/>
      <c r="E110" s="13"/>
      <c r="F110" s="14"/>
      <c r="G110" s="15"/>
      <c r="H110" s="15"/>
      <c r="I110" s="24"/>
      <c r="J110" s="17"/>
      <c r="K110" s="18"/>
      <c r="L110" s="19"/>
      <c r="M110" s="20"/>
      <c r="N110" s="21"/>
      <c r="O110" s="30"/>
      <c r="P110" s="30"/>
      <c r="Q110" s="23"/>
      <c r="R110" s="24"/>
    </row>
    <row r="111" spans="1:18" ht="22.15" customHeight="1">
      <c r="A111" s="12">
        <v>77</v>
      </c>
      <c r="B111" s="12"/>
      <c r="C111" s="13"/>
      <c r="D111" s="13"/>
      <c r="E111" s="13"/>
      <c r="F111" s="14"/>
      <c r="G111" s="15"/>
      <c r="H111" s="15"/>
      <c r="I111" s="24"/>
      <c r="J111" s="17"/>
      <c r="K111" s="18"/>
      <c r="L111" s="19"/>
      <c r="M111" s="20"/>
      <c r="N111" s="21"/>
      <c r="O111" s="30"/>
      <c r="P111" s="30"/>
      <c r="Q111" s="23"/>
      <c r="R111" s="24"/>
    </row>
    <row r="112" spans="1:18" ht="22.15" customHeight="1">
      <c r="A112" s="12">
        <v>78</v>
      </c>
      <c r="B112" s="12"/>
      <c r="C112" s="13"/>
      <c r="D112" s="13"/>
      <c r="E112" s="13"/>
      <c r="F112" s="14"/>
      <c r="G112" s="15"/>
      <c r="H112" s="15"/>
      <c r="I112" s="24"/>
      <c r="J112" s="17"/>
      <c r="K112" s="18"/>
      <c r="L112" s="19"/>
      <c r="M112" s="20"/>
      <c r="N112" s="21"/>
      <c r="O112" s="30"/>
      <c r="P112" s="30"/>
      <c r="Q112" s="23"/>
      <c r="R112" s="24"/>
    </row>
    <row r="113" spans="1:32" ht="22.15" customHeight="1">
      <c r="A113" s="12">
        <v>79</v>
      </c>
      <c r="B113" s="12"/>
      <c r="C113" s="13"/>
      <c r="D113" s="13"/>
      <c r="E113" s="13"/>
      <c r="F113" s="14"/>
      <c r="G113" s="15"/>
      <c r="H113" s="15"/>
      <c r="I113" s="24"/>
      <c r="J113" s="17"/>
      <c r="K113" s="18"/>
      <c r="L113" s="19"/>
      <c r="M113" s="20"/>
      <c r="N113" s="21"/>
      <c r="O113" s="30"/>
      <c r="P113" s="30"/>
      <c r="Q113" s="23"/>
      <c r="R113" s="24"/>
    </row>
    <row r="114" spans="1:32" ht="22.15" customHeight="1">
      <c r="A114" s="12">
        <v>80</v>
      </c>
      <c r="B114" s="12"/>
      <c r="C114" s="13"/>
      <c r="D114" s="13"/>
      <c r="E114" s="13"/>
      <c r="F114" s="14"/>
      <c r="G114" s="15"/>
      <c r="H114" s="15"/>
      <c r="I114" s="24"/>
      <c r="J114" s="17"/>
      <c r="K114" s="18"/>
      <c r="L114" s="19"/>
      <c r="M114" s="20"/>
      <c r="N114" s="21"/>
      <c r="O114" s="30"/>
      <c r="P114" s="30"/>
      <c r="Q114" s="23"/>
      <c r="R114" s="24"/>
    </row>
    <row r="115" spans="1:32" ht="18" customHeight="1">
      <c r="A115" s="47" t="s">
        <v>302</v>
      </c>
      <c r="B115" s="48"/>
      <c r="C115" s="48"/>
      <c r="D115" s="48"/>
      <c r="E115" s="49"/>
      <c r="F115" s="50" t="s">
        <v>183</v>
      </c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2"/>
    </row>
    <row r="116" spans="1:32" ht="18" customHeight="1">
      <c r="A116" s="12">
        <v>1</v>
      </c>
      <c r="B116" s="47" t="s">
        <v>187</v>
      </c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9"/>
      <c r="AA116" s="27" t="s">
        <v>188</v>
      </c>
      <c r="AB116" s="27" t="s">
        <v>189</v>
      </c>
      <c r="AC116" s="27" t="s">
        <v>190</v>
      </c>
    </row>
    <row r="117" spans="1:32" ht="18" customHeight="1">
      <c r="A117" s="23">
        <v>2</v>
      </c>
      <c r="B117" s="53" t="s">
        <v>191</v>
      </c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5"/>
      <c r="U117" t="s">
        <v>192</v>
      </c>
      <c r="V117" s="16" t="s">
        <v>193</v>
      </c>
      <c r="W117" t="s">
        <v>194</v>
      </c>
      <c r="Y117" t="s">
        <v>195</v>
      </c>
      <c r="AA117" s="16" t="s">
        <v>173</v>
      </c>
      <c r="AB117" s="16" t="s">
        <v>174</v>
      </c>
      <c r="AC117" s="16" t="s">
        <v>139</v>
      </c>
      <c r="AD117" s="16" t="s">
        <v>196</v>
      </c>
    </row>
    <row r="118" spans="1:32" ht="18" customHeight="1">
      <c r="A118" s="23">
        <v>3</v>
      </c>
      <c r="B118" s="47" t="s">
        <v>197</v>
      </c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9"/>
      <c r="V118" s="16" t="s">
        <v>198</v>
      </c>
      <c r="X118" s="16" t="s">
        <v>199</v>
      </c>
      <c r="Y118" t="s">
        <v>200</v>
      </c>
      <c r="AA118" s="16" t="s">
        <v>179</v>
      </c>
      <c r="AB118" s="16" t="s">
        <v>180</v>
      </c>
      <c r="AC118" s="16" t="s">
        <v>147</v>
      </c>
      <c r="AD118" s="16" t="s">
        <v>201</v>
      </c>
    </row>
    <row r="119" spans="1:32" ht="18" customHeight="1">
      <c r="A119" s="37" t="s">
        <v>202</v>
      </c>
      <c r="B119" s="38"/>
      <c r="C119" s="39">
        <f>C29</f>
        <v>0</v>
      </c>
      <c r="D119" s="39"/>
      <c r="E119" s="37" t="s">
        <v>203</v>
      </c>
      <c r="F119" s="40"/>
      <c r="G119" s="41">
        <f>G29</f>
        <v>0</v>
      </c>
      <c r="H119" s="42"/>
      <c r="I119" s="42"/>
      <c r="J119" s="42"/>
      <c r="K119" s="28" t="s">
        <v>204</v>
      </c>
      <c r="L119" s="43" t="s">
        <v>205</v>
      </c>
      <c r="M119" s="43"/>
      <c r="N119" s="43"/>
      <c r="O119" s="43"/>
      <c r="P119" s="43"/>
      <c r="Q119" s="43"/>
      <c r="R119" s="43"/>
      <c r="U119" t="s">
        <v>206</v>
      </c>
      <c r="W119" s="16" t="s">
        <v>207</v>
      </c>
      <c r="X119" s="16" t="s">
        <v>208</v>
      </c>
    </row>
    <row r="120" spans="1:32" ht="18" customHeight="1">
      <c r="A120" s="37" t="s">
        <v>209</v>
      </c>
      <c r="B120" s="38"/>
      <c r="C120" s="82">
        <f>C30</f>
        <v>0</v>
      </c>
      <c r="D120" s="82"/>
      <c r="E120" s="37" t="s">
        <v>210</v>
      </c>
      <c r="F120" s="40"/>
      <c r="G120" s="41">
        <f>G30</f>
        <v>0</v>
      </c>
      <c r="H120" s="42"/>
      <c r="I120" s="42"/>
      <c r="J120" s="42"/>
      <c r="K120" s="28" t="s">
        <v>204</v>
      </c>
      <c r="L120" s="43" t="s">
        <v>205</v>
      </c>
      <c r="M120" s="43"/>
      <c r="N120" s="43"/>
      <c r="O120" s="43"/>
      <c r="P120" s="43"/>
      <c r="Q120" s="43"/>
      <c r="R120" s="43"/>
      <c r="V120" s="16" t="s">
        <v>211</v>
      </c>
      <c r="W120" s="16" t="s">
        <v>212</v>
      </c>
      <c r="Y120" t="s">
        <v>213</v>
      </c>
      <c r="AA120" s="16" t="s">
        <v>214</v>
      </c>
      <c r="AB120" s="16" t="s">
        <v>214</v>
      </c>
      <c r="AC120" s="16" t="s">
        <v>215</v>
      </c>
      <c r="AD120" s="16" t="s">
        <v>216</v>
      </c>
    </row>
    <row r="121" spans="1:32" ht="48" customHeight="1">
      <c r="A121" s="69" t="s">
        <v>0</v>
      </c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1" t="s">
        <v>1</v>
      </c>
      <c r="M121" s="71"/>
      <c r="N121" s="71"/>
      <c r="O121" s="71"/>
      <c r="P121" s="71"/>
      <c r="Q121" s="1" t="s">
        <v>2</v>
      </c>
      <c r="R121" s="2" t="s">
        <v>3</v>
      </c>
      <c r="S121" s="3"/>
      <c r="T121" s="3" t="s">
        <v>4</v>
      </c>
      <c r="U121" s="4" t="s">
        <v>5</v>
      </c>
      <c r="V121" s="4" t="s">
        <v>6</v>
      </c>
      <c r="W121" s="4" t="s">
        <v>7</v>
      </c>
      <c r="X121" s="4" t="s">
        <v>8</v>
      </c>
      <c r="Y121" s="4" t="s">
        <v>9</v>
      </c>
      <c r="Z121" s="4"/>
      <c r="AA121" s="4" t="s">
        <v>10</v>
      </c>
      <c r="AB121" s="4" t="s">
        <v>11</v>
      </c>
      <c r="AC121" s="4" t="s">
        <v>12</v>
      </c>
      <c r="AD121" s="4" t="s">
        <v>13</v>
      </c>
      <c r="AE121" s="4" t="s">
        <v>14</v>
      </c>
      <c r="AF121" s="4" t="s">
        <v>15</v>
      </c>
    </row>
    <row r="122" spans="1:32" s="8" customFormat="1" ht="18" customHeight="1">
      <c r="A122" s="5" t="s">
        <v>16</v>
      </c>
      <c r="B122" s="44">
        <f>B2</f>
        <v>0</v>
      </c>
      <c r="C122" s="45"/>
      <c r="D122" s="45"/>
      <c r="E122" s="6" t="str">
        <f>E2</f>
        <v>Version:1</v>
      </c>
      <c r="F122" s="72" t="s">
        <v>18</v>
      </c>
      <c r="G122" s="74" t="s">
        <v>19</v>
      </c>
      <c r="H122" s="74" t="s">
        <v>20</v>
      </c>
      <c r="I122" s="77" t="s">
        <v>21</v>
      </c>
      <c r="J122" s="62" t="s">
        <v>22</v>
      </c>
      <c r="K122" s="79" t="s">
        <v>23</v>
      </c>
      <c r="L122" s="62" t="s">
        <v>24</v>
      </c>
      <c r="M122" s="56" t="s">
        <v>25</v>
      </c>
      <c r="N122" s="59" t="s">
        <v>26</v>
      </c>
      <c r="O122" s="62" t="s">
        <v>27</v>
      </c>
      <c r="P122" s="65" t="s">
        <v>28</v>
      </c>
      <c r="Q122" s="66" t="s">
        <v>29</v>
      </c>
      <c r="R122" s="68" t="s">
        <v>30</v>
      </c>
      <c r="S122"/>
      <c r="T122" s="7" t="str">
        <f>IF(C155&gt;18,IF(C155=20,Nennweite20,IF(C155=60,U124,IF(C155=50,Nennweite50,IF(C155=25,Nennweite25,IF(C155=32,Nennweite32,IF(C155=40,Nennweite40,"&gt;")))))),IF(C155=8,Nennweite8,IF(C155=6,Nennweite6,IF(C155=10,Nennweite10,IF(C155=18,Nennweite18,IF(C155=16,Nennweite16,IF(C155=12,Nennweite12,"")))))))</f>
        <v/>
      </c>
      <c r="U122" t="s">
        <v>31</v>
      </c>
      <c r="V122" t="s">
        <v>32</v>
      </c>
      <c r="W122" t="s">
        <v>33</v>
      </c>
      <c r="X122" t="s">
        <v>34</v>
      </c>
      <c r="Y122" t="s">
        <v>35</v>
      </c>
      <c r="Z122"/>
      <c r="AA122" t="s">
        <v>36</v>
      </c>
      <c r="AB122" t="s">
        <v>37</v>
      </c>
      <c r="AC122" t="s">
        <v>38</v>
      </c>
      <c r="AD122" t="s">
        <v>39</v>
      </c>
      <c r="AE122" t="s">
        <v>40</v>
      </c>
      <c r="AF122" t="s">
        <v>41</v>
      </c>
    </row>
    <row r="123" spans="1:32" ht="18" customHeight="1">
      <c r="A123" s="5" t="s">
        <v>42</v>
      </c>
      <c r="B123" s="44">
        <f>B3</f>
        <v>0</v>
      </c>
      <c r="C123" s="45"/>
      <c r="D123" s="45"/>
      <c r="E123" s="46"/>
      <c r="F123" s="72"/>
      <c r="G123" s="75"/>
      <c r="H123" s="75"/>
      <c r="I123" s="77"/>
      <c r="J123" s="63"/>
      <c r="K123" s="80"/>
      <c r="L123" s="63"/>
      <c r="M123" s="57"/>
      <c r="N123" s="60"/>
      <c r="O123" s="63"/>
      <c r="P123" s="63"/>
      <c r="Q123" s="66"/>
      <c r="R123" s="66"/>
      <c r="U123" t="s">
        <v>43</v>
      </c>
      <c r="V123" t="s">
        <v>44</v>
      </c>
      <c r="W123" t="s">
        <v>45</v>
      </c>
      <c r="X123" t="s">
        <v>46</v>
      </c>
      <c r="Y123" t="s">
        <v>47</v>
      </c>
      <c r="AA123" t="s">
        <v>48</v>
      </c>
      <c r="AB123" t="s">
        <v>49</v>
      </c>
      <c r="AC123" t="s">
        <v>50</v>
      </c>
      <c r="AD123" t="s">
        <v>51</v>
      </c>
      <c r="AE123" t="s">
        <v>52</v>
      </c>
      <c r="AF123" t="s">
        <v>53</v>
      </c>
    </row>
    <row r="124" spans="1:32" ht="18" customHeight="1" thickBot="1">
      <c r="A124" s="9" t="s">
        <v>54</v>
      </c>
      <c r="B124" s="10" t="s">
        <v>55</v>
      </c>
      <c r="C124" s="10" t="s">
        <v>56</v>
      </c>
      <c r="D124" s="11" t="s">
        <v>57</v>
      </c>
      <c r="E124" s="9" t="s">
        <v>58</v>
      </c>
      <c r="F124" s="73"/>
      <c r="G124" s="76"/>
      <c r="H124" s="76"/>
      <c r="I124" s="78"/>
      <c r="J124" s="64"/>
      <c r="K124" s="81"/>
      <c r="L124" s="64"/>
      <c r="M124" s="58"/>
      <c r="N124" s="61"/>
      <c r="O124" s="64"/>
      <c r="P124" s="64"/>
      <c r="Q124" s="67"/>
      <c r="R124" s="67"/>
      <c r="U124" t="s">
        <v>59</v>
      </c>
      <c r="V124" t="s">
        <v>60</v>
      </c>
      <c r="W124" t="s">
        <v>61</v>
      </c>
      <c r="X124" t="s">
        <v>62</v>
      </c>
      <c r="Y124" t="s">
        <v>63</v>
      </c>
      <c r="AA124" t="s">
        <v>64</v>
      </c>
      <c r="AB124" t="s">
        <v>65</v>
      </c>
      <c r="AC124" t="s">
        <v>66</v>
      </c>
      <c r="AD124" t="s">
        <v>67</v>
      </c>
      <c r="AE124" t="s">
        <v>68</v>
      </c>
      <c r="AF124" t="s">
        <v>69</v>
      </c>
    </row>
    <row r="125" spans="1:32" ht="22.15" customHeight="1">
      <c r="A125" s="12">
        <v>81</v>
      </c>
      <c r="B125" s="13"/>
      <c r="C125" s="13"/>
      <c r="D125" s="13"/>
      <c r="E125" s="13"/>
      <c r="F125" s="14"/>
      <c r="G125" s="15"/>
      <c r="H125" s="15"/>
      <c r="I125" s="24"/>
      <c r="J125" s="17"/>
      <c r="K125" s="18"/>
      <c r="L125" s="19"/>
      <c r="M125" s="20"/>
      <c r="N125" s="21"/>
      <c r="O125" s="30"/>
      <c r="P125" s="30"/>
      <c r="Q125" s="23"/>
      <c r="R125" s="24"/>
    </row>
    <row r="126" spans="1:32" ht="22.15" customHeight="1">
      <c r="A126" s="12">
        <v>82</v>
      </c>
      <c r="B126" s="13"/>
      <c r="C126" s="13"/>
      <c r="D126" s="13"/>
      <c r="E126" s="13"/>
      <c r="F126" s="14"/>
      <c r="G126" s="15"/>
      <c r="H126" s="15"/>
      <c r="I126" s="24"/>
      <c r="J126" s="17"/>
      <c r="K126" s="18"/>
      <c r="L126" s="19"/>
      <c r="M126" s="20"/>
      <c r="N126" s="21"/>
      <c r="O126" s="30"/>
      <c r="P126" s="30"/>
      <c r="Q126" s="23"/>
      <c r="R126" s="24"/>
    </row>
    <row r="127" spans="1:32" ht="22.15" customHeight="1">
      <c r="A127" s="12">
        <v>83</v>
      </c>
      <c r="B127" s="13"/>
      <c r="C127" s="13"/>
      <c r="D127" s="13"/>
      <c r="E127" s="13"/>
      <c r="F127" s="14"/>
      <c r="G127" s="15"/>
      <c r="H127" s="15"/>
      <c r="I127" s="24"/>
      <c r="J127" s="17"/>
      <c r="K127" s="18"/>
      <c r="L127" s="19"/>
      <c r="M127" s="20"/>
      <c r="N127" s="21"/>
      <c r="O127" s="30"/>
      <c r="P127" s="30"/>
      <c r="Q127" s="23"/>
      <c r="R127" s="24"/>
    </row>
    <row r="128" spans="1:32" ht="22.15" customHeight="1">
      <c r="A128" s="12">
        <v>84</v>
      </c>
      <c r="B128" s="12"/>
      <c r="C128" s="13"/>
      <c r="D128" s="13"/>
      <c r="E128" s="13"/>
      <c r="F128" s="14"/>
      <c r="G128" s="15"/>
      <c r="H128" s="15"/>
      <c r="I128" s="24"/>
      <c r="J128" s="17"/>
      <c r="K128" s="18"/>
      <c r="L128" s="19"/>
      <c r="M128" s="20"/>
      <c r="N128" s="21"/>
      <c r="O128" s="30"/>
      <c r="P128" s="30"/>
      <c r="Q128" s="23"/>
      <c r="R128" s="24"/>
    </row>
    <row r="129" spans="1:18" ht="22.15" customHeight="1">
      <c r="A129" s="12">
        <v>85</v>
      </c>
      <c r="B129" s="12"/>
      <c r="C129" s="13"/>
      <c r="D129" s="13"/>
      <c r="E129" s="13"/>
      <c r="F129" s="14"/>
      <c r="G129" s="15"/>
      <c r="H129" s="15"/>
      <c r="I129" s="24"/>
      <c r="J129" s="17"/>
      <c r="K129" s="18"/>
      <c r="L129" s="19"/>
      <c r="M129" s="20"/>
      <c r="N129" s="21"/>
      <c r="O129" s="30"/>
      <c r="P129" s="30"/>
      <c r="Q129" s="23"/>
      <c r="R129" s="24"/>
    </row>
    <row r="130" spans="1:18" ht="22.15" customHeight="1">
      <c r="A130" s="12">
        <v>86</v>
      </c>
      <c r="B130" s="12"/>
      <c r="C130" s="13"/>
      <c r="D130" s="13"/>
      <c r="E130" s="13"/>
      <c r="F130" s="14"/>
      <c r="G130" s="15"/>
      <c r="H130" s="15"/>
      <c r="I130" s="24"/>
      <c r="J130" s="17"/>
      <c r="K130" s="18"/>
      <c r="L130" s="19"/>
      <c r="M130" s="20"/>
      <c r="N130" s="21"/>
      <c r="O130" s="30"/>
      <c r="P130" s="30"/>
      <c r="Q130" s="23"/>
      <c r="R130" s="24"/>
    </row>
    <row r="131" spans="1:18" ht="22.15" customHeight="1">
      <c r="A131" s="12">
        <v>87</v>
      </c>
      <c r="B131" s="12"/>
      <c r="C131" s="13"/>
      <c r="D131" s="13"/>
      <c r="E131" s="13"/>
      <c r="F131" s="14"/>
      <c r="G131" s="15"/>
      <c r="H131" s="15"/>
      <c r="I131" s="24"/>
      <c r="J131" s="17"/>
      <c r="K131" s="18"/>
      <c r="L131" s="19"/>
      <c r="M131" s="20"/>
      <c r="N131" s="21"/>
      <c r="O131" s="30"/>
      <c r="P131" s="30"/>
      <c r="Q131" s="23"/>
      <c r="R131" s="24"/>
    </row>
    <row r="132" spans="1:18" ht="22.15" customHeight="1">
      <c r="A132" s="12">
        <v>88</v>
      </c>
      <c r="B132" s="12"/>
      <c r="C132" s="13"/>
      <c r="D132" s="13"/>
      <c r="E132" s="13"/>
      <c r="F132" s="14"/>
      <c r="G132" s="15"/>
      <c r="H132" s="15"/>
      <c r="I132" s="24"/>
      <c r="J132" s="17"/>
      <c r="K132" s="18"/>
      <c r="L132" s="19"/>
      <c r="M132" s="20"/>
      <c r="N132" s="21"/>
      <c r="O132" s="30"/>
      <c r="P132" s="30"/>
      <c r="Q132" s="23"/>
      <c r="R132" s="24"/>
    </row>
    <row r="133" spans="1:18" ht="22.15" customHeight="1">
      <c r="A133" s="12">
        <v>89</v>
      </c>
      <c r="B133" s="12"/>
      <c r="C133" s="13"/>
      <c r="D133" s="13"/>
      <c r="E133" s="13"/>
      <c r="F133" s="14"/>
      <c r="G133" s="15"/>
      <c r="H133" s="15"/>
      <c r="I133" s="24"/>
      <c r="J133" s="17"/>
      <c r="K133" s="18"/>
      <c r="L133" s="19"/>
      <c r="M133" s="20"/>
      <c r="N133" s="21"/>
      <c r="O133" s="30"/>
      <c r="P133" s="30"/>
      <c r="Q133" s="23"/>
      <c r="R133" s="24"/>
    </row>
    <row r="134" spans="1:18" ht="22.15" customHeight="1">
      <c r="A134" s="12">
        <v>90</v>
      </c>
      <c r="B134" s="12"/>
      <c r="C134" s="13"/>
      <c r="D134" s="13"/>
      <c r="E134" s="13"/>
      <c r="F134" s="14"/>
      <c r="G134" s="15"/>
      <c r="H134" s="15"/>
      <c r="I134" s="24"/>
      <c r="J134" s="17"/>
      <c r="K134" s="18"/>
      <c r="L134" s="19"/>
      <c r="M134" s="20"/>
      <c r="N134" s="21"/>
      <c r="O134" s="30"/>
      <c r="P134" s="30"/>
      <c r="Q134" s="23"/>
      <c r="R134" s="24"/>
    </row>
    <row r="135" spans="1:18" ht="22.15" customHeight="1">
      <c r="A135" s="12">
        <v>91</v>
      </c>
      <c r="B135" s="12"/>
      <c r="C135" s="13"/>
      <c r="D135" s="13"/>
      <c r="E135" s="13"/>
      <c r="F135" s="14"/>
      <c r="G135" s="15"/>
      <c r="H135" s="15"/>
      <c r="I135" s="24"/>
      <c r="J135" s="17"/>
      <c r="K135" s="18"/>
      <c r="L135" s="19"/>
      <c r="M135" s="20"/>
      <c r="N135" s="21"/>
      <c r="O135" s="30"/>
      <c r="P135" s="30"/>
      <c r="Q135" s="23"/>
      <c r="R135" s="24"/>
    </row>
    <row r="136" spans="1:18" ht="22.15" customHeight="1">
      <c r="A136" s="12">
        <v>92</v>
      </c>
      <c r="B136" s="12"/>
      <c r="C136" s="13"/>
      <c r="D136" s="13"/>
      <c r="E136" s="13"/>
      <c r="F136" s="14"/>
      <c r="G136" s="15"/>
      <c r="H136" s="15"/>
      <c r="I136" s="24"/>
      <c r="J136" s="17"/>
      <c r="K136" s="18"/>
      <c r="L136" s="19"/>
      <c r="M136" s="20"/>
      <c r="N136" s="21"/>
      <c r="O136" s="30"/>
      <c r="P136" s="30"/>
      <c r="Q136" s="23"/>
      <c r="R136" s="24"/>
    </row>
    <row r="137" spans="1:18" ht="22.15" customHeight="1">
      <c r="A137" s="12">
        <v>93</v>
      </c>
      <c r="B137" s="12"/>
      <c r="C137" s="13"/>
      <c r="D137" s="13"/>
      <c r="E137" s="13"/>
      <c r="F137" s="14"/>
      <c r="G137" s="15"/>
      <c r="H137" s="15"/>
      <c r="I137" s="24"/>
      <c r="J137" s="17"/>
      <c r="K137" s="18"/>
      <c r="L137" s="19"/>
      <c r="M137" s="20"/>
      <c r="N137" s="21"/>
      <c r="O137" s="30"/>
      <c r="P137" s="30"/>
      <c r="Q137" s="23"/>
      <c r="R137" s="24"/>
    </row>
    <row r="138" spans="1:18" ht="22.15" customHeight="1">
      <c r="A138" s="12">
        <v>94</v>
      </c>
      <c r="B138" s="12"/>
      <c r="C138" s="13"/>
      <c r="D138" s="13"/>
      <c r="E138" s="13"/>
      <c r="F138" s="14"/>
      <c r="G138" s="15"/>
      <c r="H138" s="15"/>
      <c r="I138" s="24"/>
      <c r="J138" s="17"/>
      <c r="K138" s="18"/>
      <c r="L138" s="19"/>
      <c r="M138" s="20"/>
      <c r="N138" s="21"/>
      <c r="O138" s="30"/>
      <c r="P138" s="30"/>
      <c r="Q138" s="23"/>
      <c r="R138" s="24"/>
    </row>
    <row r="139" spans="1:18" ht="22.15" customHeight="1">
      <c r="A139" s="12">
        <v>95</v>
      </c>
      <c r="B139" s="12"/>
      <c r="C139" s="13"/>
      <c r="D139" s="13"/>
      <c r="E139" s="13"/>
      <c r="F139" s="14"/>
      <c r="G139" s="15"/>
      <c r="H139" s="15"/>
      <c r="I139" s="24"/>
      <c r="J139" s="17"/>
      <c r="K139" s="18"/>
      <c r="L139" s="19"/>
      <c r="M139" s="20"/>
      <c r="N139" s="21"/>
      <c r="O139" s="30"/>
      <c r="P139" s="30"/>
      <c r="Q139" s="23"/>
      <c r="R139" s="24"/>
    </row>
    <row r="140" spans="1:18" ht="22.15" customHeight="1">
      <c r="A140" s="12">
        <v>96</v>
      </c>
      <c r="B140" s="12"/>
      <c r="C140" s="13"/>
      <c r="D140" s="13"/>
      <c r="E140" s="13"/>
      <c r="F140" s="14"/>
      <c r="G140" s="15"/>
      <c r="H140" s="15"/>
      <c r="I140" s="24"/>
      <c r="J140" s="17"/>
      <c r="K140" s="18"/>
      <c r="L140" s="19"/>
      <c r="M140" s="20"/>
      <c r="N140" s="21"/>
      <c r="O140" s="30"/>
      <c r="P140" s="30"/>
      <c r="Q140" s="23"/>
      <c r="R140" s="24"/>
    </row>
    <row r="141" spans="1:18" ht="22.15" customHeight="1">
      <c r="A141" s="12">
        <v>97</v>
      </c>
      <c r="B141" s="12"/>
      <c r="C141" s="13"/>
      <c r="D141" s="13"/>
      <c r="E141" s="13"/>
      <c r="F141" s="14"/>
      <c r="G141" s="15"/>
      <c r="H141" s="15"/>
      <c r="I141" s="24"/>
      <c r="J141" s="17"/>
      <c r="K141" s="18"/>
      <c r="L141" s="19"/>
      <c r="M141" s="20"/>
      <c r="N141" s="21"/>
      <c r="O141" s="30"/>
      <c r="P141" s="30"/>
      <c r="Q141" s="23"/>
      <c r="R141" s="24"/>
    </row>
    <row r="142" spans="1:18" ht="22.15" customHeight="1">
      <c r="A142" s="12">
        <v>98</v>
      </c>
      <c r="B142" s="12"/>
      <c r="C142" s="13"/>
      <c r="D142" s="13"/>
      <c r="E142" s="13"/>
      <c r="F142" s="14"/>
      <c r="G142" s="15"/>
      <c r="H142" s="15"/>
      <c r="I142" s="24"/>
      <c r="J142" s="17"/>
      <c r="K142" s="18"/>
      <c r="L142" s="19"/>
      <c r="M142" s="20"/>
      <c r="N142" s="21"/>
      <c r="O142" s="30"/>
      <c r="P142" s="30"/>
      <c r="Q142" s="23"/>
      <c r="R142" s="24"/>
    </row>
    <row r="143" spans="1:18" ht="22.15" customHeight="1">
      <c r="A143" s="12">
        <v>99</v>
      </c>
      <c r="B143" s="12"/>
      <c r="C143" s="13"/>
      <c r="D143" s="13"/>
      <c r="E143" s="13"/>
      <c r="F143" s="14"/>
      <c r="G143" s="15"/>
      <c r="H143" s="15"/>
      <c r="I143" s="24"/>
      <c r="J143" s="17"/>
      <c r="K143" s="18"/>
      <c r="L143" s="19"/>
      <c r="M143" s="20"/>
      <c r="N143" s="21"/>
      <c r="O143" s="30"/>
      <c r="P143" s="30"/>
      <c r="Q143" s="23"/>
      <c r="R143" s="24"/>
    </row>
    <row r="144" spans="1:18" ht="22.15" customHeight="1">
      <c r="A144" s="12">
        <v>100</v>
      </c>
      <c r="B144" s="12"/>
      <c r="C144" s="13"/>
      <c r="D144" s="13"/>
      <c r="E144" s="13"/>
      <c r="F144" s="14"/>
      <c r="G144" s="15"/>
      <c r="H144" s="15"/>
      <c r="I144" s="24"/>
      <c r="J144" s="17"/>
      <c r="K144" s="18"/>
      <c r="L144" s="19"/>
      <c r="M144" s="20"/>
      <c r="N144" s="21"/>
      <c r="O144" s="30"/>
      <c r="P144" s="30"/>
      <c r="Q144" s="23"/>
      <c r="R144" s="24"/>
    </row>
    <row r="145" spans="1:32" ht="18" customHeight="1">
      <c r="A145" s="47" t="s">
        <v>302</v>
      </c>
      <c r="B145" s="48"/>
      <c r="C145" s="48"/>
      <c r="D145" s="48"/>
      <c r="E145" s="49"/>
      <c r="F145" s="50" t="s">
        <v>183</v>
      </c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2"/>
    </row>
    <row r="146" spans="1:32" ht="18" customHeight="1">
      <c r="A146" s="12">
        <v>1</v>
      </c>
      <c r="B146" s="47" t="s">
        <v>187</v>
      </c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9"/>
      <c r="AA146" s="27" t="s">
        <v>188</v>
      </c>
      <c r="AB146" s="27" t="s">
        <v>189</v>
      </c>
      <c r="AC146" s="27" t="s">
        <v>190</v>
      </c>
    </row>
    <row r="147" spans="1:32" ht="18" customHeight="1">
      <c r="A147" s="23">
        <v>2</v>
      </c>
      <c r="B147" s="53" t="s">
        <v>191</v>
      </c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5"/>
      <c r="U147" t="s">
        <v>192</v>
      </c>
      <c r="V147" s="16" t="s">
        <v>193</v>
      </c>
      <c r="W147" t="s">
        <v>194</v>
      </c>
      <c r="Y147" t="s">
        <v>195</v>
      </c>
      <c r="AA147" s="16" t="s">
        <v>173</v>
      </c>
      <c r="AB147" s="16" t="s">
        <v>174</v>
      </c>
      <c r="AC147" s="16" t="s">
        <v>139</v>
      </c>
      <c r="AD147" s="16" t="s">
        <v>196</v>
      </c>
    </row>
    <row r="148" spans="1:32" ht="18" customHeight="1">
      <c r="A148" s="23">
        <v>3</v>
      </c>
      <c r="B148" s="47" t="s">
        <v>197</v>
      </c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9"/>
      <c r="V148" s="16" t="s">
        <v>198</v>
      </c>
      <c r="X148" s="16" t="s">
        <v>199</v>
      </c>
      <c r="Y148" t="s">
        <v>200</v>
      </c>
      <c r="AA148" s="16" t="s">
        <v>179</v>
      </c>
      <c r="AB148" s="16" t="s">
        <v>180</v>
      </c>
      <c r="AC148" s="16" t="s">
        <v>147</v>
      </c>
      <c r="AD148" s="16" t="s">
        <v>201</v>
      </c>
    </row>
    <row r="149" spans="1:32" ht="18" customHeight="1">
      <c r="A149" s="37" t="s">
        <v>202</v>
      </c>
      <c r="B149" s="38"/>
      <c r="C149" s="39">
        <f>C29</f>
        <v>0</v>
      </c>
      <c r="D149" s="39"/>
      <c r="E149" s="37" t="s">
        <v>203</v>
      </c>
      <c r="F149" s="40"/>
      <c r="G149" s="41">
        <f>G29</f>
        <v>0</v>
      </c>
      <c r="H149" s="42"/>
      <c r="I149" s="42"/>
      <c r="J149" s="42"/>
      <c r="K149" s="28" t="s">
        <v>204</v>
      </c>
      <c r="L149" s="43" t="s">
        <v>205</v>
      </c>
      <c r="M149" s="43"/>
      <c r="N149" s="43"/>
      <c r="O149" s="43"/>
      <c r="P149" s="43"/>
      <c r="Q149" s="43"/>
      <c r="R149" s="43"/>
      <c r="U149" t="s">
        <v>206</v>
      </c>
      <c r="W149" s="16" t="s">
        <v>207</v>
      </c>
      <c r="X149" s="16" t="s">
        <v>208</v>
      </c>
    </row>
    <row r="150" spans="1:32" ht="18" customHeight="1">
      <c r="A150" s="37" t="s">
        <v>209</v>
      </c>
      <c r="B150" s="38"/>
      <c r="C150" s="82">
        <f>C30</f>
        <v>0</v>
      </c>
      <c r="D150" s="82"/>
      <c r="E150" s="37" t="s">
        <v>210</v>
      </c>
      <c r="F150" s="40"/>
      <c r="G150" s="41">
        <f>G30</f>
        <v>0</v>
      </c>
      <c r="H150" s="42"/>
      <c r="I150" s="42"/>
      <c r="J150" s="42"/>
      <c r="K150" s="28" t="s">
        <v>204</v>
      </c>
      <c r="L150" s="43" t="s">
        <v>205</v>
      </c>
      <c r="M150" s="43"/>
      <c r="N150" s="43"/>
      <c r="O150" s="43"/>
      <c r="P150" s="43"/>
      <c r="Q150" s="43"/>
      <c r="R150" s="43"/>
      <c r="V150" s="16" t="s">
        <v>211</v>
      </c>
      <c r="W150" s="16" t="s">
        <v>212</v>
      </c>
      <c r="Y150" t="s">
        <v>213</v>
      </c>
      <c r="AA150" s="16" t="s">
        <v>214</v>
      </c>
      <c r="AB150" s="16" t="s">
        <v>214</v>
      </c>
      <c r="AC150" s="16" t="s">
        <v>215</v>
      </c>
      <c r="AD150" s="16" t="s">
        <v>216</v>
      </c>
    </row>
    <row r="151" spans="1:32" ht="48" customHeight="1">
      <c r="A151" s="69" t="s">
        <v>0</v>
      </c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1" t="s">
        <v>1</v>
      </c>
      <c r="M151" s="71"/>
      <c r="N151" s="71"/>
      <c r="O151" s="71"/>
      <c r="P151" s="71"/>
      <c r="Q151" s="1" t="s">
        <v>2</v>
      </c>
      <c r="R151" s="2" t="s">
        <v>3</v>
      </c>
      <c r="S151" s="3"/>
      <c r="T151" s="3" t="s">
        <v>4</v>
      </c>
      <c r="U151" s="4" t="s">
        <v>5</v>
      </c>
      <c r="V151" s="4" t="s">
        <v>6</v>
      </c>
      <c r="W151" s="4" t="s">
        <v>7</v>
      </c>
      <c r="X151" s="4" t="s">
        <v>8</v>
      </c>
      <c r="Y151" s="4" t="s">
        <v>9</v>
      </c>
      <c r="Z151" s="4"/>
      <c r="AA151" s="4" t="s">
        <v>10</v>
      </c>
      <c r="AB151" s="4" t="s">
        <v>11</v>
      </c>
      <c r="AC151" s="4" t="s">
        <v>12</v>
      </c>
      <c r="AD151" s="4" t="s">
        <v>13</v>
      </c>
      <c r="AE151" s="4" t="s">
        <v>14</v>
      </c>
      <c r="AF151" s="4" t="s">
        <v>15</v>
      </c>
    </row>
    <row r="152" spans="1:32" s="8" customFormat="1" ht="18" customHeight="1">
      <c r="A152" s="5" t="s">
        <v>16</v>
      </c>
      <c r="B152" s="44">
        <f>B2</f>
        <v>0</v>
      </c>
      <c r="C152" s="45"/>
      <c r="D152" s="45"/>
      <c r="E152" s="6" t="str">
        <f>E2</f>
        <v>Version:1</v>
      </c>
      <c r="F152" s="72" t="s">
        <v>18</v>
      </c>
      <c r="G152" s="74" t="s">
        <v>19</v>
      </c>
      <c r="H152" s="74" t="s">
        <v>20</v>
      </c>
      <c r="I152" s="77" t="s">
        <v>21</v>
      </c>
      <c r="J152" s="62" t="s">
        <v>22</v>
      </c>
      <c r="K152" s="79" t="s">
        <v>23</v>
      </c>
      <c r="L152" s="62" t="s">
        <v>24</v>
      </c>
      <c r="M152" s="56" t="s">
        <v>25</v>
      </c>
      <c r="N152" s="59" t="s">
        <v>26</v>
      </c>
      <c r="O152" s="62" t="s">
        <v>27</v>
      </c>
      <c r="P152" s="65" t="s">
        <v>28</v>
      </c>
      <c r="Q152" s="66" t="s">
        <v>29</v>
      </c>
      <c r="R152" s="68" t="s">
        <v>30</v>
      </c>
      <c r="S152"/>
      <c r="T152" s="7" t="str">
        <f>IF(C185&gt;18,IF(C185=20,Nennweite20,IF(C185=60,U154,IF(C185=50,Nennweite50,IF(C185=25,Nennweite25,IF(C185=32,Nennweite32,IF(C185=40,Nennweite40,"&gt;")))))),IF(C185=8,Nennweite8,IF(C185=6,Nennweite6,IF(C185=10,Nennweite10,IF(C185=18,Nennweite18,IF(C185=16,Nennweite16,IF(C185=12,Nennweite12,"")))))))</f>
        <v/>
      </c>
      <c r="U152" t="s">
        <v>31</v>
      </c>
      <c r="V152" t="s">
        <v>32</v>
      </c>
      <c r="W152" t="s">
        <v>33</v>
      </c>
      <c r="X152" t="s">
        <v>34</v>
      </c>
      <c r="Y152" t="s">
        <v>35</v>
      </c>
      <c r="Z152"/>
      <c r="AA152" t="s">
        <v>36</v>
      </c>
      <c r="AB152" t="s">
        <v>37</v>
      </c>
      <c r="AC152" t="s">
        <v>38</v>
      </c>
      <c r="AD152" t="s">
        <v>39</v>
      </c>
      <c r="AE152" t="s">
        <v>40</v>
      </c>
      <c r="AF152" t="s">
        <v>41</v>
      </c>
    </row>
    <row r="153" spans="1:32" ht="18" customHeight="1">
      <c r="A153" s="5" t="s">
        <v>42</v>
      </c>
      <c r="B153" s="44">
        <f>B3</f>
        <v>0</v>
      </c>
      <c r="C153" s="45"/>
      <c r="D153" s="45"/>
      <c r="E153" s="46"/>
      <c r="F153" s="72"/>
      <c r="G153" s="75"/>
      <c r="H153" s="75"/>
      <c r="I153" s="77"/>
      <c r="J153" s="63"/>
      <c r="K153" s="80"/>
      <c r="L153" s="63"/>
      <c r="M153" s="57"/>
      <c r="N153" s="60"/>
      <c r="O153" s="63"/>
      <c r="P153" s="63"/>
      <c r="Q153" s="66"/>
      <c r="R153" s="66"/>
      <c r="U153" t="s">
        <v>43</v>
      </c>
      <c r="V153" t="s">
        <v>44</v>
      </c>
      <c r="W153" t="s">
        <v>45</v>
      </c>
      <c r="X153" t="s">
        <v>46</v>
      </c>
      <c r="Y153" t="s">
        <v>47</v>
      </c>
      <c r="AA153" t="s">
        <v>48</v>
      </c>
      <c r="AB153" t="s">
        <v>49</v>
      </c>
      <c r="AC153" t="s">
        <v>50</v>
      </c>
      <c r="AD153" t="s">
        <v>51</v>
      </c>
      <c r="AE153" t="s">
        <v>52</v>
      </c>
      <c r="AF153" t="s">
        <v>53</v>
      </c>
    </row>
    <row r="154" spans="1:32" ht="18" customHeight="1" thickBot="1">
      <c r="A154" s="9" t="s">
        <v>54</v>
      </c>
      <c r="B154" s="10" t="s">
        <v>55</v>
      </c>
      <c r="C154" s="10" t="s">
        <v>56</v>
      </c>
      <c r="D154" s="11" t="s">
        <v>57</v>
      </c>
      <c r="E154" s="9" t="s">
        <v>58</v>
      </c>
      <c r="F154" s="73"/>
      <c r="G154" s="76"/>
      <c r="H154" s="76"/>
      <c r="I154" s="78"/>
      <c r="J154" s="64"/>
      <c r="K154" s="81"/>
      <c r="L154" s="64"/>
      <c r="M154" s="58"/>
      <c r="N154" s="61"/>
      <c r="O154" s="64"/>
      <c r="P154" s="64"/>
      <c r="Q154" s="67"/>
      <c r="R154" s="67"/>
      <c r="U154" t="s">
        <v>59</v>
      </c>
      <c r="V154" t="s">
        <v>60</v>
      </c>
      <c r="W154" t="s">
        <v>61</v>
      </c>
      <c r="X154" t="s">
        <v>62</v>
      </c>
      <c r="Y154" t="s">
        <v>63</v>
      </c>
      <c r="AA154" t="s">
        <v>64</v>
      </c>
      <c r="AB154" t="s">
        <v>65</v>
      </c>
      <c r="AC154" t="s">
        <v>66</v>
      </c>
      <c r="AD154" t="s">
        <v>67</v>
      </c>
      <c r="AE154" t="s">
        <v>68</v>
      </c>
      <c r="AF154" t="s">
        <v>69</v>
      </c>
    </row>
    <row r="155" spans="1:32" ht="22.15" customHeight="1">
      <c r="A155" s="12">
        <v>101</v>
      </c>
      <c r="B155" s="13"/>
      <c r="C155" s="13"/>
      <c r="D155" s="13"/>
      <c r="E155" s="13"/>
      <c r="F155" s="14"/>
      <c r="G155" s="15"/>
      <c r="H155" s="15"/>
      <c r="I155" s="24"/>
      <c r="J155" s="17"/>
      <c r="K155" s="18"/>
      <c r="L155" s="19"/>
      <c r="M155" s="20"/>
      <c r="N155" s="21"/>
      <c r="O155" s="30"/>
      <c r="P155" s="30"/>
      <c r="Q155" s="23"/>
      <c r="R155" s="24"/>
      <c r="U155" t="s">
        <v>70</v>
      </c>
      <c r="V155" t="s">
        <v>71</v>
      </c>
      <c r="W155" t="s">
        <v>72</v>
      </c>
      <c r="X155" t="s">
        <v>73</v>
      </c>
      <c r="Y155" t="s">
        <v>74</v>
      </c>
      <c r="AA155" t="s">
        <v>75</v>
      </c>
      <c r="AB155" t="s">
        <v>76</v>
      </c>
      <c r="AC155" t="s">
        <v>77</v>
      </c>
      <c r="AD155" t="s">
        <v>78</v>
      </c>
      <c r="AE155" t="s">
        <v>79</v>
      </c>
    </row>
    <row r="156" spans="1:32" ht="22.15" customHeight="1">
      <c r="A156" s="12">
        <v>102</v>
      </c>
      <c r="B156" s="13"/>
      <c r="C156" s="13"/>
      <c r="D156" s="13"/>
      <c r="E156" s="13"/>
      <c r="F156" s="14"/>
      <c r="G156" s="15"/>
      <c r="H156" s="15"/>
      <c r="I156" s="24"/>
      <c r="J156" s="17"/>
      <c r="K156" s="18"/>
      <c r="L156" s="19"/>
      <c r="M156" s="20"/>
      <c r="N156" s="21"/>
      <c r="O156" s="30"/>
      <c r="P156" s="30"/>
      <c r="Q156" s="23"/>
      <c r="R156" s="24"/>
      <c r="U156" t="s">
        <v>80</v>
      </c>
      <c r="X156" t="s">
        <v>81</v>
      </c>
      <c r="Y156" t="s">
        <v>82</v>
      </c>
      <c r="AA156" t="s">
        <v>83</v>
      </c>
      <c r="AB156" t="s">
        <v>84</v>
      </c>
      <c r="AC156" t="s">
        <v>85</v>
      </c>
      <c r="AD156" t="s">
        <v>86</v>
      </c>
      <c r="AE156" t="s">
        <v>87</v>
      </c>
    </row>
    <row r="157" spans="1:32" ht="22.15" customHeight="1">
      <c r="A157" s="12">
        <v>103</v>
      </c>
      <c r="B157" s="13"/>
      <c r="C157" s="13"/>
      <c r="D157" s="13"/>
      <c r="E157" s="13"/>
      <c r="F157" s="14"/>
      <c r="G157" s="15"/>
      <c r="H157" s="15"/>
      <c r="I157" s="24"/>
      <c r="J157" s="17"/>
      <c r="K157" s="18"/>
      <c r="L157" s="19"/>
      <c r="M157" s="20"/>
      <c r="N157" s="21"/>
      <c r="O157" s="30"/>
      <c r="P157" s="30"/>
      <c r="Q157" s="23"/>
      <c r="R157" s="24"/>
      <c r="U157" t="s">
        <v>88</v>
      </c>
      <c r="V157" t="s">
        <v>89</v>
      </c>
      <c r="W157" t="s">
        <v>90</v>
      </c>
      <c r="X157" t="s">
        <v>91</v>
      </c>
      <c r="Y157" t="s">
        <v>92</v>
      </c>
      <c r="AA157" t="s">
        <v>93</v>
      </c>
      <c r="AB157" t="s">
        <v>94</v>
      </c>
      <c r="AC157" t="s">
        <v>95</v>
      </c>
      <c r="AD157" t="s">
        <v>96</v>
      </c>
      <c r="AE157" t="s">
        <v>97</v>
      </c>
    </row>
    <row r="158" spans="1:32" ht="22.15" customHeight="1">
      <c r="A158" s="12">
        <v>104</v>
      </c>
      <c r="B158" s="12"/>
      <c r="C158" s="13"/>
      <c r="D158" s="13"/>
      <c r="E158" s="13"/>
      <c r="F158" s="14"/>
      <c r="G158" s="15"/>
      <c r="H158" s="15"/>
      <c r="I158" s="24"/>
      <c r="J158" s="17"/>
      <c r="K158" s="18"/>
      <c r="L158" s="19"/>
      <c r="M158" s="20"/>
      <c r="N158" s="21"/>
      <c r="O158" s="30"/>
      <c r="P158" s="30"/>
      <c r="Q158" s="23"/>
      <c r="R158" s="24"/>
      <c r="V158" t="s">
        <v>98</v>
      </c>
      <c r="W158" t="s">
        <v>99</v>
      </c>
    </row>
    <row r="159" spans="1:32" ht="22.15" customHeight="1">
      <c r="A159" s="12">
        <v>105</v>
      </c>
      <c r="B159" s="12"/>
      <c r="C159" s="13"/>
      <c r="D159" s="13"/>
      <c r="E159" s="13"/>
      <c r="F159" s="14"/>
      <c r="G159" s="15"/>
      <c r="H159" s="15"/>
      <c r="I159" s="24"/>
      <c r="J159" s="17"/>
      <c r="K159" s="18"/>
      <c r="L159" s="19"/>
      <c r="M159" s="20"/>
      <c r="N159" s="21"/>
      <c r="O159" s="30"/>
      <c r="P159" s="30"/>
      <c r="Q159" s="23"/>
      <c r="R159" s="24"/>
      <c r="U159" t="s">
        <v>100</v>
      </c>
      <c r="V159" t="s">
        <v>101</v>
      </c>
      <c r="W159" t="s">
        <v>102</v>
      </c>
      <c r="X159" t="s">
        <v>103</v>
      </c>
      <c r="Y159" t="s">
        <v>103</v>
      </c>
      <c r="AA159" t="s">
        <v>104</v>
      </c>
      <c r="AB159" t="s">
        <v>105</v>
      </c>
      <c r="AC159" t="s">
        <v>106</v>
      </c>
      <c r="AD159" t="s">
        <v>40</v>
      </c>
      <c r="AE159" t="s">
        <v>107</v>
      </c>
    </row>
    <row r="160" spans="1:32" ht="22.15" customHeight="1">
      <c r="A160" s="12">
        <v>106</v>
      </c>
      <c r="B160" s="12"/>
      <c r="C160" s="13"/>
      <c r="D160" s="13"/>
      <c r="E160" s="13"/>
      <c r="F160" s="14"/>
      <c r="G160" s="15"/>
      <c r="H160" s="15"/>
      <c r="I160" s="24"/>
      <c r="J160" s="17"/>
      <c r="K160" s="18"/>
      <c r="L160" s="19"/>
      <c r="M160" s="20"/>
      <c r="N160" s="21"/>
      <c r="O160" s="30"/>
      <c r="P160" s="30"/>
      <c r="Q160" s="23"/>
      <c r="R160" s="24"/>
      <c r="X160" t="s">
        <v>108</v>
      </c>
      <c r="Y160" t="s">
        <v>108</v>
      </c>
      <c r="AA160" t="s">
        <v>109</v>
      </c>
      <c r="AB160" t="s">
        <v>110</v>
      </c>
      <c r="AC160" t="s">
        <v>111</v>
      </c>
      <c r="AD160" t="s">
        <v>52</v>
      </c>
    </row>
    <row r="161" spans="1:31" ht="22.15" customHeight="1">
      <c r="A161" s="12">
        <v>107</v>
      </c>
      <c r="B161" s="12"/>
      <c r="C161" s="13"/>
      <c r="D161" s="13"/>
      <c r="E161" s="13"/>
      <c r="F161" s="14"/>
      <c r="G161" s="15"/>
      <c r="H161" s="15"/>
      <c r="I161" s="24"/>
      <c r="J161" s="17"/>
      <c r="K161" s="18"/>
      <c r="L161" s="19"/>
      <c r="M161" s="20"/>
      <c r="N161" s="21"/>
      <c r="O161" s="30"/>
      <c r="P161" s="30"/>
      <c r="Q161" s="23"/>
      <c r="R161" s="24"/>
      <c r="U161" t="s">
        <v>112</v>
      </c>
      <c r="V161" t="s">
        <v>113</v>
      </c>
      <c r="W161" t="s">
        <v>114</v>
      </c>
      <c r="X161" t="s">
        <v>115</v>
      </c>
      <c r="Y161" t="s">
        <v>116</v>
      </c>
      <c r="AA161" t="s">
        <v>117</v>
      </c>
      <c r="AB161" t="s">
        <v>118</v>
      </c>
      <c r="AC161" t="s">
        <v>119</v>
      </c>
      <c r="AD161" t="s">
        <v>68</v>
      </c>
      <c r="AE161" t="s">
        <v>120</v>
      </c>
    </row>
    <row r="162" spans="1:31" ht="22.15" customHeight="1">
      <c r="A162" s="12">
        <v>108</v>
      </c>
      <c r="B162" s="12"/>
      <c r="C162" s="13"/>
      <c r="D162" s="13"/>
      <c r="E162" s="13"/>
      <c r="F162" s="14"/>
      <c r="G162" s="15"/>
      <c r="H162" s="15"/>
      <c r="I162" s="24"/>
      <c r="J162" s="17"/>
      <c r="K162" s="18"/>
      <c r="L162" s="19"/>
      <c r="M162" s="20"/>
      <c r="N162" s="21"/>
      <c r="O162" s="30"/>
      <c r="P162" s="30"/>
      <c r="Q162" s="23"/>
      <c r="R162" s="24"/>
      <c r="V162" t="s">
        <v>121</v>
      </c>
      <c r="W162" t="s">
        <v>122</v>
      </c>
      <c r="AE162" t="s">
        <v>123</v>
      </c>
    </row>
    <row r="163" spans="1:31" ht="22.15" customHeight="1">
      <c r="A163" s="12">
        <v>109</v>
      </c>
      <c r="B163" s="12"/>
      <c r="C163" s="13"/>
      <c r="D163" s="13"/>
      <c r="E163" s="13"/>
      <c r="F163" s="14"/>
      <c r="G163" s="15"/>
      <c r="H163" s="15"/>
      <c r="I163" s="24"/>
      <c r="J163" s="17"/>
      <c r="K163" s="18"/>
      <c r="L163" s="19"/>
      <c r="M163" s="20"/>
      <c r="N163" s="21"/>
      <c r="O163" s="30"/>
      <c r="P163" s="30"/>
      <c r="Q163" s="23"/>
      <c r="R163" s="24"/>
      <c r="U163" t="s">
        <v>124</v>
      </c>
      <c r="V163" t="s">
        <v>125</v>
      </c>
      <c r="W163" t="s">
        <v>126</v>
      </c>
      <c r="X163" t="s">
        <v>127</v>
      </c>
      <c r="Y163" t="s">
        <v>128</v>
      </c>
      <c r="AA163" t="s">
        <v>128</v>
      </c>
      <c r="AB163" t="s">
        <v>129</v>
      </c>
      <c r="AC163" t="s">
        <v>130</v>
      </c>
      <c r="AD163" t="s">
        <v>131</v>
      </c>
      <c r="AE163" t="s">
        <v>132</v>
      </c>
    </row>
    <row r="164" spans="1:31" ht="22.15" customHeight="1">
      <c r="A164" s="12">
        <v>110</v>
      </c>
      <c r="B164" s="12"/>
      <c r="C164" s="13"/>
      <c r="D164" s="13"/>
      <c r="E164" s="13"/>
      <c r="F164" s="14"/>
      <c r="G164" s="15"/>
      <c r="H164" s="15"/>
      <c r="I164" s="24"/>
      <c r="J164" s="17"/>
      <c r="K164" s="18"/>
      <c r="L164" s="19"/>
      <c r="M164" s="20"/>
      <c r="N164" s="21"/>
      <c r="O164" s="30"/>
      <c r="P164" s="30"/>
      <c r="Q164" s="23"/>
      <c r="R164" s="24"/>
      <c r="U164" t="s">
        <v>134</v>
      </c>
      <c r="X164" t="s">
        <v>135</v>
      </c>
      <c r="Y164" t="s">
        <v>136</v>
      </c>
      <c r="AA164" t="s">
        <v>136</v>
      </c>
      <c r="AB164" t="s">
        <v>137</v>
      </c>
      <c r="AC164" t="s">
        <v>138</v>
      </c>
      <c r="AD164" t="s">
        <v>139</v>
      </c>
    </row>
    <row r="165" spans="1:31" ht="22.15" customHeight="1">
      <c r="A165" s="12">
        <v>111</v>
      </c>
      <c r="B165" s="12"/>
      <c r="C165" s="13"/>
      <c r="D165" s="13"/>
      <c r="E165" s="13"/>
      <c r="F165" s="14"/>
      <c r="G165" s="15"/>
      <c r="H165" s="15"/>
      <c r="I165" s="24"/>
      <c r="J165" s="17"/>
      <c r="K165" s="18"/>
      <c r="L165" s="19"/>
      <c r="M165" s="20"/>
      <c r="N165" s="21"/>
      <c r="O165" s="30"/>
      <c r="P165" s="30"/>
      <c r="Q165" s="23"/>
      <c r="R165" s="24"/>
      <c r="U165" t="s">
        <v>140</v>
      </c>
      <c r="V165" t="s">
        <v>141</v>
      </c>
      <c r="W165" t="s">
        <v>142</v>
      </c>
      <c r="X165" t="s">
        <v>143</v>
      </c>
      <c r="Y165" t="s">
        <v>144</v>
      </c>
      <c r="AA165" t="s">
        <v>144</v>
      </c>
      <c r="AB165" t="s">
        <v>145</v>
      </c>
      <c r="AC165" t="s">
        <v>146</v>
      </c>
      <c r="AD165" t="s">
        <v>147</v>
      </c>
    </row>
    <row r="166" spans="1:31" ht="22.15" customHeight="1">
      <c r="A166" s="12">
        <v>112</v>
      </c>
      <c r="B166" s="12"/>
      <c r="C166" s="13"/>
      <c r="D166" s="13"/>
      <c r="E166" s="13"/>
      <c r="F166" s="14"/>
      <c r="G166" s="15"/>
      <c r="H166" s="15"/>
      <c r="I166" s="24"/>
      <c r="J166" s="17"/>
      <c r="K166" s="18"/>
      <c r="L166" s="19"/>
      <c r="M166" s="20"/>
      <c r="N166" s="21"/>
      <c r="O166" s="30"/>
      <c r="P166" s="30"/>
      <c r="Q166" s="23"/>
      <c r="R166" s="24"/>
      <c r="V166" t="s">
        <v>148</v>
      </c>
    </row>
    <row r="167" spans="1:31" ht="22.15" customHeight="1">
      <c r="A167" s="12">
        <v>113</v>
      </c>
      <c r="B167" s="12"/>
      <c r="C167" s="13"/>
      <c r="D167" s="13"/>
      <c r="E167" s="13"/>
      <c r="F167" s="14"/>
      <c r="G167" s="15"/>
      <c r="H167" s="15"/>
      <c r="I167" s="24"/>
      <c r="J167" s="17"/>
      <c r="K167" s="18"/>
      <c r="L167" s="19"/>
      <c r="M167" s="20"/>
      <c r="N167" s="21"/>
      <c r="O167" s="30"/>
      <c r="P167" s="30"/>
      <c r="Q167" s="23"/>
      <c r="R167" s="24"/>
      <c r="U167" t="s">
        <v>149</v>
      </c>
      <c r="W167" t="s">
        <v>150</v>
      </c>
      <c r="X167" t="s">
        <v>151</v>
      </c>
      <c r="Y167" t="s">
        <v>127</v>
      </c>
      <c r="AA167" t="s">
        <v>129</v>
      </c>
      <c r="AB167" t="s">
        <v>130</v>
      </c>
      <c r="AC167" t="s">
        <v>78</v>
      </c>
      <c r="AD167" t="s">
        <v>152</v>
      </c>
    </row>
    <row r="168" spans="1:31" ht="22.15" customHeight="1">
      <c r="A168" s="12">
        <v>114</v>
      </c>
      <c r="B168" s="12"/>
      <c r="C168" s="13"/>
      <c r="D168" s="13"/>
      <c r="E168" s="13"/>
      <c r="F168" s="14"/>
      <c r="G168" s="15"/>
      <c r="H168" s="15"/>
      <c r="I168" s="24"/>
      <c r="J168" s="17"/>
      <c r="K168" s="18"/>
      <c r="L168" s="19"/>
      <c r="M168" s="20"/>
      <c r="N168" s="21"/>
      <c r="O168" s="30"/>
      <c r="P168" s="30"/>
      <c r="Q168" s="23"/>
      <c r="R168" s="24"/>
      <c r="U168" t="s">
        <v>153</v>
      </c>
      <c r="V168" t="s">
        <v>154</v>
      </c>
      <c r="W168" t="s">
        <v>155</v>
      </c>
      <c r="X168" t="s">
        <v>156</v>
      </c>
      <c r="Y168" t="s">
        <v>135</v>
      </c>
      <c r="AA168" t="s">
        <v>137</v>
      </c>
      <c r="AB168" t="s">
        <v>138</v>
      </c>
      <c r="AC168" t="s">
        <v>86</v>
      </c>
      <c r="AD168" t="s">
        <v>157</v>
      </c>
    </row>
    <row r="169" spans="1:31" ht="22.15" customHeight="1">
      <c r="A169" s="12">
        <v>115</v>
      </c>
      <c r="B169" s="12"/>
      <c r="C169" s="13"/>
      <c r="D169" s="13"/>
      <c r="E169" s="13"/>
      <c r="F169" s="14"/>
      <c r="G169" s="15"/>
      <c r="H169" s="15"/>
      <c r="I169" s="24"/>
      <c r="J169" s="17"/>
      <c r="K169" s="18"/>
      <c r="L169" s="19"/>
      <c r="M169" s="20"/>
      <c r="N169" s="21"/>
      <c r="O169" s="30"/>
      <c r="P169" s="30"/>
      <c r="Q169" s="23"/>
      <c r="R169" s="24"/>
      <c r="U169" t="s">
        <v>158</v>
      </c>
      <c r="V169" t="s">
        <v>159</v>
      </c>
      <c r="X169" t="s">
        <v>160</v>
      </c>
      <c r="Y169" t="s">
        <v>143</v>
      </c>
      <c r="AA169" t="s">
        <v>145</v>
      </c>
      <c r="AB169" t="s">
        <v>146</v>
      </c>
      <c r="AC169" t="s">
        <v>96</v>
      </c>
      <c r="AD169" t="s">
        <v>161</v>
      </c>
    </row>
    <row r="170" spans="1:31" ht="22.15" customHeight="1">
      <c r="A170" s="12">
        <v>116</v>
      </c>
      <c r="B170" s="12"/>
      <c r="C170" s="13"/>
      <c r="D170" s="13"/>
      <c r="E170" s="13"/>
      <c r="F170" s="14"/>
      <c r="G170" s="15"/>
      <c r="H170" s="15"/>
      <c r="I170" s="24"/>
      <c r="J170" s="17"/>
      <c r="K170" s="18"/>
      <c r="L170" s="19"/>
      <c r="M170" s="20"/>
      <c r="N170" s="21"/>
      <c r="O170" s="30"/>
      <c r="P170" s="30"/>
      <c r="Q170" s="23"/>
      <c r="R170" s="24"/>
      <c r="V170" t="s">
        <v>162</v>
      </c>
      <c r="W170" t="s">
        <v>163</v>
      </c>
    </row>
    <row r="171" spans="1:31" ht="22.15" customHeight="1">
      <c r="A171" s="12">
        <v>117</v>
      </c>
      <c r="B171" s="12"/>
      <c r="C171" s="13"/>
      <c r="D171" s="13"/>
      <c r="E171" s="13"/>
      <c r="F171" s="14"/>
      <c r="G171" s="15"/>
      <c r="H171" s="15"/>
      <c r="I171" s="24"/>
      <c r="J171" s="17"/>
      <c r="K171" s="18"/>
      <c r="L171" s="19"/>
      <c r="M171" s="20"/>
      <c r="N171" s="21"/>
      <c r="O171" s="30"/>
      <c r="P171" s="30"/>
      <c r="Q171" s="23"/>
      <c r="R171" s="24"/>
      <c r="U171" t="s">
        <v>164</v>
      </c>
      <c r="W171" t="s">
        <v>165</v>
      </c>
      <c r="X171" t="s">
        <v>166</v>
      </c>
      <c r="Y171" t="s">
        <v>151</v>
      </c>
      <c r="AA171" t="s">
        <v>151</v>
      </c>
      <c r="AB171" t="s">
        <v>167</v>
      </c>
      <c r="AC171" t="s">
        <v>168</v>
      </c>
      <c r="AD171" t="s">
        <v>169</v>
      </c>
    </row>
    <row r="172" spans="1:31" ht="22.15" customHeight="1">
      <c r="A172" s="12">
        <v>118</v>
      </c>
      <c r="B172" s="12"/>
      <c r="C172" s="13"/>
      <c r="D172" s="13"/>
      <c r="E172" s="13"/>
      <c r="F172" s="14"/>
      <c r="G172" s="15"/>
      <c r="H172" s="15"/>
      <c r="I172" s="24"/>
      <c r="J172" s="17"/>
      <c r="K172" s="18"/>
      <c r="L172" s="19"/>
      <c r="M172" s="20"/>
      <c r="N172" s="21"/>
      <c r="O172" s="30"/>
      <c r="P172" s="30"/>
      <c r="Q172" s="23"/>
      <c r="R172" s="24"/>
      <c r="U172" t="s">
        <v>170</v>
      </c>
      <c r="V172" t="s">
        <v>171</v>
      </c>
      <c r="W172" t="s">
        <v>172</v>
      </c>
      <c r="Y172" t="s">
        <v>156</v>
      </c>
      <c r="AA172" t="s">
        <v>156</v>
      </c>
      <c r="AB172" t="s">
        <v>173</v>
      </c>
      <c r="AC172" t="s">
        <v>174</v>
      </c>
      <c r="AD172" t="s">
        <v>175</v>
      </c>
    </row>
    <row r="173" spans="1:31" ht="22.15" customHeight="1">
      <c r="A173" s="12">
        <v>119</v>
      </c>
      <c r="B173" s="12"/>
      <c r="C173" s="13"/>
      <c r="D173" s="13"/>
      <c r="E173" s="13"/>
      <c r="F173" s="14"/>
      <c r="G173" s="15"/>
      <c r="H173" s="15"/>
      <c r="I173" s="24"/>
      <c r="J173" s="17"/>
      <c r="K173" s="18"/>
      <c r="L173" s="19"/>
      <c r="M173" s="20"/>
      <c r="N173" s="21"/>
      <c r="O173" s="30"/>
      <c r="P173" s="30"/>
      <c r="Q173" s="23"/>
      <c r="R173" s="24"/>
      <c r="U173" t="s">
        <v>176</v>
      </c>
      <c r="V173" t="s">
        <v>177</v>
      </c>
      <c r="X173" t="s">
        <v>178</v>
      </c>
      <c r="Y173" t="s">
        <v>160</v>
      </c>
      <c r="AA173" t="s">
        <v>160</v>
      </c>
      <c r="AB173" t="s">
        <v>179</v>
      </c>
      <c r="AC173" t="s">
        <v>180</v>
      </c>
      <c r="AD173" t="s">
        <v>181</v>
      </c>
    </row>
    <row r="174" spans="1:31" ht="22.15" customHeight="1">
      <c r="A174" s="12">
        <v>120</v>
      </c>
      <c r="B174" s="12"/>
      <c r="C174" s="13"/>
      <c r="D174" s="13"/>
      <c r="E174" s="13"/>
      <c r="F174" s="14"/>
      <c r="G174" s="15"/>
      <c r="H174" s="15"/>
      <c r="I174" s="24"/>
      <c r="J174" s="17"/>
      <c r="K174" s="18"/>
      <c r="L174" s="19"/>
      <c r="M174" s="20"/>
      <c r="N174" s="21"/>
      <c r="O174" s="30"/>
      <c r="P174" s="30"/>
      <c r="Q174" s="23"/>
      <c r="R174" s="24"/>
      <c r="V174" t="s">
        <v>184</v>
      </c>
      <c r="W174" t="s">
        <v>185</v>
      </c>
      <c r="X174" t="s">
        <v>186</v>
      </c>
    </row>
    <row r="175" spans="1:31" ht="18" customHeight="1">
      <c r="A175" s="47" t="s">
        <v>302</v>
      </c>
      <c r="B175" s="48"/>
      <c r="C175" s="48"/>
      <c r="D175" s="48"/>
      <c r="E175" s="49"/>
      <c r="F175" s="50" t="s">
        <v>183</v>
      </c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2"/>
      <c r="U175" t="s">
        <v>320</v>
      </c>
      <c r="W175" t="s">
        <v>321</v>
      </c>
      <c r="X175" t="s">
        <v>322</v>
      </c>
      <c r="Y175" t="s">
        <v>323</v>
      </c>
      <c r="AA175" s="16" t="s">
        <v>167</v>
      </c>
      <c r="AB175" s="16" t="s">
        <v>168</v>
      </c>
      <c r="AC175" s="16" t="s">
        <v>131</v>
      </c>
      <c r="AD175" s="16" t="s">
        <v>253</v>
      </c>
    </row>
    <row r="176" spans="1:31" ht="18" customHeight="1">
      <c r="A176" s="12">
        <v>1</v>
      </c>
      <c r="B176" s="47" t="s">
        <v>187</v>
      </c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9"/>
      <c r="AA176" s="27" t="s">
        <v>188</v>
      </c>
      <c r="AB176" s="27" t="s">
        <v>189</v>
      </c>
      <c r="AC176" s="27" t="s">
        <v>190</v>
      </c>
    </row>
    <row r="177" spans="1:32" ht="18" customHeight="1">
      <c r="A177" s="23">
        <v>2</v>
      </c>
      <c r="B177" s="53" t="s">
        <v>191</v>
      </c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5"/>
      <c r="U177" t="s">
        <v>192</v>
      </c>
      <c r="V177" s="16" t="s">
        <v>193</v>
      </c>
      <c r="W177" t="s">
        <v>194</v>
      </c>
      <c r="Y177" t="s">
        <v>195</v>
      </c>
      <c r="AA177" s="16" t="s">
        <v>173</v>
      </c>
      <c r="AB177" s="16" t="s">
        <v>174</v>
      </c>
      <c r="AC177" s="16" t="s">
        <v>139</v>
      </c>
      <c r="AD177" s="16" t="s">
        <v>196</v>
      </c>
    </row>
    <row r="178" spans="1:32" ht="18" customHeight="1">
      <c r="A178" s="23">
        <v>3</v>
      </c>
      <c r="B178" s="47" t="s">
        <v>197</v>
      </c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9"/>
      <c r="V178" s="16" t="s">
        <v>198</v>
      </c>
      <c r="X178" s="16" t="s">
        <v>199</v>
      </c>
      <c r="Y178" t="s">
        <v>200</v>
      </c>
      <c r="AA178" s="16" t="s">
        <v>179</v>
      </c>
      <c r="AB178" s="16" t="s">
        <v>180</v>
      </c>
      <c r="AC178" s="16" t="s">
        <v>147</v>
      </c>
      <c r="AD178" s="16" t="s">
        <v>201</v>
      </c>
    </row>
    <row r="179" spans="1:32" ht="18" customHeight="1">
      <c r="A179" s="37" t="s">
        <v>202</v>
      </c>
      <c r="B179" s="38"/>
      <c r="C179" s="39">
        <f>C29</f>
        <v>0</v>
      </c>
      <c r="D179" s="39"/>
      <c r="E179" s="37" t="s">
        <v>203</v>
      </c>
      <c r="F179" s="40"/>
      <c r="G179" s="41">
        <f>G29</f>
        <v>0</v>
      </c>
      <c r="H179" s="42"/>
      <c r="I179" s="42"/>
      <c r="J179" s="42"/>
      <c r="K179" s="28" t="s">
        <v>204</v>
      </c>
      <c r="L179" s="43" t="s">
        <v>205</v>
      </c>
      <c r="M179" s="43"/>
      <c r="N179" s="43"/>
      <c r="O179" s="43"/>
      <c r="P179" s="43"/>
      <c r="Q179" s="43"/>
      <c r="R179" s="43"/>
      <c r="U179" t="s">
        <v>206</v>
      </c>
      <c r="W179" s="16" t="s">
        <v>207</v>
      </c>
      <c r="X179" s="16" t="s">
        <v>208</v>
      </c>
    </row>
    <row r="180" spans="1:32" ht="18" customHeight="1">
      <c r="A180" s="37" t="s">
        <v>209</v>
      </c>
      <c r="B180" s="38"/>
      <c r="C180" s="82">
        <f>C30</f>
        <v>0</v>
      </c>
      <c r="D180" s="82"/>
      <c r="E180" s="37" t="s">
        <v>210</v>
      </c>
      <c r="F180" s="40"/>
      <c r="G180" s="41">
        <f>G30</f>
        <v>0</v>
      </c>
      <c r="H180" s="42"/>
      <c r="I180" s="42"/>
      <c r="J180" s="42"/>
      <c r="K180" s="28" t="s">
        <v>204</v>
      </c>
      <c r="L180" s="43" t="s">
        <v>205</v>
      </c>
      <c r="M180" s="43"/>
      <c r="N180" s="43"/>
      <c r="O180" s="43"/>
      <c r="P180" s="43"/>
      <c r="Q180" s="43"/>
      <c r="R180" s="43"/>
      <c r="V180" s="16" t="s">
        <v>211</v>
      </c>
      <c r="W180" s="16" t="s">
        <v>212</v>
      </c>
      <c r="Y180" t="s">
        <v>213</v>
      </c>
      <c r="AA180" s="16" t="s">
        <v>214</v>
      </c>
      <c r="AB180" s="16" t="s">
        <v>214</v>
      </c>
      <c r="AC180" s="16" t="s">
        <v>215</v>
      </c>
      <c r="AD180" s="16" t="s">
        <v>216</v>
      </c>
    </row>
    <row r="181" spans="1:32" ht="48" customHeight="1">
      <c r="A181" s="69" t="s">
        <v>0</v>
      </c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1" t="s">
        <v>1</v>
      </c>
      <c r="M181" s="71"/>
      <c r="N181" s="71"/>
      <c r="O181" s="71"/>
      <c r="P181" s="71"/>
      <c r="Q181" s="1" t="s">
        <v>2</v>
      </c>
      <c r="R181" s="2" t="s">
        <v>3</v>
      </c>
      <c r="S181" s="3"/>
      <c r="T181" s="3" t="s">
        <v>4</v>
      </c>
      <c r="U181" s="4" t="s">
        <v>5</v>
      </c>
      <c r="V181" s="4" t="s">
        <v>6</v>
      </c>
      <c r="W181" s="4" t="s">
        <v>7</v>
      </c>
      <c r="X181" s="4" t="s">
        <v>8</v>
      </c>
      <c r="Y181" s="4" t="s">
        <v>9</v>
      </c>
      <c r="Z181" s="4"/>
      <c r="AA181" s="4" t="s">
        <v>10</v>
      </c>
      <c r="AB181" s="4" t="s">
        <v>11</v>
      </c>
      <c r="AC181" s="4" t="s">
        <v>12</v>
      </c>
      <c r="AD181" s="4" t="s">
        <v>13</v>
      </c>
      <c r="AE181" s="4" t="s">
        <v>14</v>
      </c>
      <c r="AF181" s="4" t="s">
        <v>15</v>
      </c>
    </row>
    <row r="182" spans="1:32" s="8" customFormat="1" ht="18" customHeight="1">
      <c r="A182" s="5" t="s">
        <v>16</v>
      </c>
      <c r="B182" s="44">
        <f>B2</f>
        <v>0</v>
      </c>
      <c r="C182" s="45"/>
      <c r="D182" s="45"/>
      <c r="E182" s="6" t="str">
        <f>E2</f>
        <v>Version:1</v>
      </c>
      <c r="F182" s="72" t="s">
        <v>18</v>
      </c>
      <c r="G182" s="74" t="s">
        <v>19</v>
      </c>
      <c r="H182" s="74" t="s">
        <v>20</v>
      </c>
      <c r="I182" s="77" t="s">
        <v>21</v>
      </c>
      <c r="J182" s="62" t="s">
        <v>22</v>
      </c>
      <c r="K182" s="79" t="s">
        <v>23</v>
      </c>
      <c r="L182" s="62" t="s">
        <v>24</v>
      </c>
      <c r="M182" s="56" t="s">
        <v>25</v>
      </c>
      <c r="N182" s="59" t="s">
        <v>26</v>
      </c>
      <c r="O182" s="62" t="s">
        <v>27</v>
      </c>
      <c r="P182" s="65" t="s">
        <v>28</v>
      </c>
      <c r="Q182" s="66" t="s">
        <v>29</v>
      </c>
      <c r="R182" s="68" t="s">
        <v>30</v>
      </c>
      <c r="S182"/>
      <c r="T182" s="7" t="str">
        <f>IF(C215&gt;18,IF(C215=20,Nennweite20,IF(C215=60,U184,IF(C215=50,Nennweite50,IF(C215=25,Nennweite25,IF(C215=32,Nennweite32,IF(C215=40,Nennweite40,"&gt;")))))),IF(C215=8,Nennweite8,IF(C215=6,Nennweite6,IF(C215=10,Nennweite10,IF(C215=18,Nennweite18,IF(C215=16,Nennweite16,IF(C215=12,Nennweite12,"")))))))</f>
        <v/>
      </c>
      <c r="U182" t="s">
        <v>31</v>
      </c>
      <c r="V182" t="s">
        <v>32</v>
      </c>
      <c r="W182" t="s">
        <v>33</v>
      </c>
      <c r="X182" t="s">
        <v>34</v>
      </c>
      <c r="Y182" t="s">
        <v>35</v>
      </c>
      <c r="Z182"/>
      <c r="AA182" t="s">
        <v>36</v>
      </c>
      <c r="AB182" t="s">
        <v>37</v>
      </c>
      <c r="AC182" t="s">
        <v>38</v>
      </c>
      <c r="AD182" t="s">
        <v>39</v>
      </c>
      <c r="AE182" t="s">
        <v>40</v>
      </c>
      <c r="AF182" t="s">
        <v>41</v>
      </c>
    </row>
    <row r="183" spans="1:32" ht="18" customHeight="1">
      <c r="A183" s="5" t="s">
        <v>42</v>
      </c>
      <c r="B183" s="44">
        <f>B3</f>
        <v>0</v>
      </c>
      <c r="C183" s="45"/>
      <c r="D183" s="45"/>
      <c r="E183" s="46"/>
      <c r="F183" s="72"/>
      <c r="G183" s="75"/>
      <c r="H183" s="75"/>
      <c r="I183" s="77"/>
      <c r="J183" s="63"/>
      <c r="K183" s="80"/>
      <c r="L183" s="63"/>
      <c r="M183" s="57"/>
      <c r="N183" s="60"/>
      <c r="O183" s="63"/>
      <c r="P183" s="63"/>
      <c r="Q183" s="66"/>
      <c r="R183" s="66"/>
      <c r="U183" t="s">
        <v>43</v>
      </c>
      <c r="V183" t="s">
        <v>44</v>
      </c>
      <c r="W183" t="s">
        <v>45</v>
      </c>
      <c r="X183" t="s">
        <v>46</v>
      </c>
      <c r="Y183" t="s">
        <v>47</v>
      </c>
      <c r="AA183" t="s">
        <v>48</v>
      </c>
      <c r="AB183" t="s">
        <v>49</v>
      </c>
      <c r="AC183" t="s">
        <v>50</v>
      </c>
      <c r="AD183" t="s">
        <v>51</v>
      </c>
      <c r="AE183" t="s">
        <v>52</v>
      </c>
      <c r="AF183" t="s">
        <v>53</v>
      </c>
    </row>
    <row r="184" spans="1:32" ht="18" customHeight="1" thickBot="1">
      <c r="A184" s="9" t="s">
        <v>54</v>
      </c>
      <c r="B184" s="10" t="s">
        <v>55</v>
      </c>
      <c r="C184" s="10" t="s">
        <v>56</v>
      </c>
      <c r="D184" s="11" t="s">
        <v>57</v>
      </c>
      <c r="E184" s="9" t="s">
        <v>58</v>
      </c>
      <c r="F184" s="73"/>
      <c r="G184" s="76"/>
      <c r="H184" s="76"/>
      <c r="I184" s="78"/>
      <c r="J184" s="64"/>
      <c r="K184" s="81"/>
      <c r="L184" s="64"/>
      <c r="M184" s="58"/>
      <c r="N184" s="61"/>
      <c r="O184" s="64"/>
      <c r="P184" s="64"/>
      <c r="Q184" s="67"/>
      <c r="R184" s="67"/>
      <c r="U184" t="s">
        <v>59</v>
      </c>
      <c r="V184" t="s">
        <v>60</v>
      </c>
      <c r="W184" t="s">
        <v>61</v>
      </c>
      <c r="X184" t="s">
        <v>62</v>
      </c>
      <c r="Y184" t="s">
        <v>63</v>
      </c>
      <c r="AA184" t="s">
        <v>64</v>
      </c>
      <c r="AB184" t="s">
        <v>65</v>
      </c>
      <c r="AC184" t="s">
        <v>66</v>
      </c>
      <c r="AD184" t="s">
        <v>67</v>
      </c>
      <c r="AE184" t="s">
        <v>68</v>
      </c>
      <c r="AF184" t="s">
        <v>69</v>
      </c>
    </row>
    <row r="185" spans="1:32" ht="22.15" customHeight="1">
      <c r="A185" s="12">
        <v>121</v>
      </c>
      <c r="B185" s="13"/>
      <c r="C185" s="13"/>
      <c r="D185" s="13"/>
      <c r="E185" s="13"/>
      <c r="F185" s="14"/>
      <c r="G185" s="15"/>
      <c r="H185" s="15"/>
      <c r="I185" s="24"/>
      <c r="J185" s="17"/>
      <c r="K185" s="18"/>
      <c r="L185" s="19"/>
      <c r="M185" s="20"/>
      <c r="N185" s="21"/>
      <c r="O185" s="30"/>
      <c r="P185" s="30"/>
      <c r="Q185" s="23"/>
      <c r="R185" s="24"/>
      <c r="U185" t="s">
        <v>70</v>
      </c>
      <c r="V185" t="s">
        <v>71</v>
      </c>
      <c r="W185" t="s">
        <v>72</v>
      </c>
      <c r="X185" t="s">
        <v>73</v>
      </c>
      <c r="Y185" t="s">
        <v>74</v>
      </c>
      <c r="AA185" t="s">
        <v>75</v>
      </c>
      <c r="AB185" t="s">
        <v>76</v>
      </c>
      <c r="AC185" t="s">
        <v>77</v>
      </c>
      <c r="AD185" t="s">
        <v>78</v>
      </c>
      <c r="AE185" t="s">
        <v>79</v>
      </c>
    </row>
    <row r="186" spans="1:32" ht="22.15" customHeight="1">
      <c r="A186" s="12">
        <v>122</v>
      </c>
      <c r="B186" s="13"/>
      <c r="C186" s="13"/>
      <c r="D186" s="13"/>
      <c r="E186" s="13"/>
      <c r="F186" s="14"/>
      <c r="G186" s="15"/>
      <c r="H186" s="15"/>
      <c r="I186" s="24"/>
      <c r="J186" s="17"/>
      <c r="K186" s="18"/>
      <c r="L186" s="19"/>
      <c r="M186" s="20"/>
      <c r="N186" s="21"/>
      <c r="O186" s="30"/>
      <c r="P186" s="30"/>
      <c r="Q186" s="23"/>
      <c r="R186" s="24"/>
      <c r="U186" t="s">
        <v>80</v>
      </c>
      <c r="X186" t="s">
        <v>81</v>
      </c>
      <c r="Y186" t="s">
        <v>82</v>
      </c>
      <c r="AA186" t="s">
        <v>83</v>
      </c>
      <c r="AB186" t="s">
        <v>84</v>
      </c>
      <c r="AC186" t="s">
        <v>85</v>
      </c>
      <c r="AD186" t="s">
        <v>86</v>
      </c>
      <c r="AE186" t="s">
        <v>87</v>
      </c>
    </row>
    <row r="187" spans="1:32" ht="22.15" customHeight="1">
      <c r="A187" s="12">
        <v>123</v>
      </c>
      <c r="B187" s="13"/>
      <c r="C187" s="13"/>
      <c r="D187" s="13"/>
      <c r="E187" s="13"/>
      <c r="F187" s="14"/>
      <c r="G187" s="15"/>
      <c r="H187" s="15"/>
      <c r="I187" s="24"/>
      <c r="J187" s="17"/>
      <c r="K187" s="18"/>
      <c r="L187" s="19"/>
      <c r="M187" s="20"/>
      <c r="N187" s="21"/>
      <c r="O187" s="30"/>
      <c r="P187" s="30"/>
      <c r="Q187" s="23"/>
      <c r="R187" s="24"/>
      <c r="U187" t="s">
        <v>88</v>
      </c>
      <c r="V187" t="s">
        <v>89</v>
      </c>
      <c r="W187" t="s">
        <v>90</v>
      </c>
      <c r="X187" t="s">
        <v>91</v>
      </c>
      <c r="Y187" t="s">
        <v>92</v>
      </c>
      <c r="AA187" t="s">
        <v>93</v>
      </c>
      <c r="AB187" t="s">
        <v>94</v>
      </c>
      <c r="AC187" t="s">
        <v>95</v>
      </c>
      <c r="AD187" t="s">
        <v>96</v>
      </c>
      <c r="AE187" t="s">
        <v>97</v>
      </c>
    </row>
    <row r="188" spans="1:32" ht="22.15" customHeight="1">
      <c r="A188" s="12">
        <v>124</v>
      </c>
      <c r="B188" s="12"/>
      <c r="C188" s="13"/>
      <c r="D188" s="13"/>
      <c r="E188" s="13"/>
      <c r="F188" s="14"/>
      <c r="G188" s="15"/>
      <c r="H188" s="15"/>
      <c r="I188" s="24"/>
      <c r="J188" s="17"/>
      <c r="K188" s="18"/>
      <c r="L188" s="19"/>
      <c r="M188" s="20"/>
      <c r="N188" s="21"/>
      <c r="O188" s="30"/>
      <c r="P188" s="30"/>
      <c r="Q188" s="23"/>
      <c r="R188" s="24"/>
      <c r="V188" t="s">
        <v>98</v>
      </c>
      <c r="W188" t="s">
        <v>99</v>
      </c>
    </row>
    <row r="189" spans="1:32" ht="22.15" customHeight="1">
      <c r="A189" s="12">
        <v>125</v>
      </c>
      <c r="B189" s="12"/>
      <c r="C189" s="13"/>
      <c r="D189" s="13"/>
      <c r="E189" s="13"/>
      <c r="F189" s="14"/>
      <c r="G189" s="15"/>
      <c r="H189" s="15"/>
      <c r="I189" s="24"/>
      <c r="J189" s="17"/>
      <c r="K189" s="18"/>
      <c r="L189" s="19"/>
      <c r="M189" s="20"/>
      <c r="N189" s="21"/>
      <c r="O189" s="30"/>
      <c r="P189" s="30"/>
      <c r="Q189" s="23"/>
      <c r="R189" s="24"/>
      <c r="U189" t="s">
        <v>100</v>
      </c>
      <c r="V189" t="s">
        <v>101</v>
      </c>
      <c r="W189" t="s">
        <v>102</v>
      </c>
      <c r="X189" t="s">
        <v>103</v>
      </c>
      <c r="Y189" t="s">
        <v>103</v>
      </c>
      <c r="AA189" t="s">
        <v>104</v>
      </c>
      <c r="AB189" t="s">
        <v>105</v>
      </c>
      <c r="AC189" t="s">
        <v>106</v>
      </c>
      <c r="AD189" t="s">
        <v>40</v>
      </c>
      <c r="AE189" t="s">
        <v>107</v>
      </c>
    </row>
    <row r="190" spans="1:32" ht="22.15" customHeight="1">
      <c r="A190" s="12">
        <v>126</v>
      </c>
      <c r="B190" s="12"/>
      <c r="C190" s="13"/>
      <c r="D190" s="13"/>
      <c r="E190" s="13"/>
      <c r="F190" s="14"/>
      <c r="G190" s="15"/>
      <c r="H190" s="15"/>
      <c r="I190" s="24"/>
      <c r="J190" s="17"/>
      <c r="K190" s="18"/>
      <c r="L190" s="19"/>
      <c r="M190" s="20"/>
      <c r="N190" s="21"/>
      <c r="O190" s="30"/>
      <c r="P190" s="30"/>
      <c r="Q190" s="23"/>
      <c r="R190" s="24"/>
      <c r="X190" t="s">
        <v>108</v>
      </c>
      <c r="Y190" t="s">
        <v>108</v>
      </c>
      <c r="AA190" t="s">
        <v>109</v>
      </c>
      <c r="AB190" t="s">
        <v>110</v>
      </c>
      <c r="AC190" t="s">
        <v>111</v>
      </c>
      <c r="AD190" t="s">
        <v>52</v>
      </c>
    </row>
    <row r="191" spans="1:32" ht="22.15" customHeight="1">
      <c r="A191" s="12">
        <v>127</v>
      </c>
      <c r="B191" s="12"/>
      <c r="C191" s="13"/>
      <c r="D191" s="13"/>
      <c r="E191" s="13"/>
      <c r="F191" s="14"/>
      <c r="G191" s="15"/>
      <c r="H191" s="15"/>
      <c r="I191" s="24"/>
      <c r="J191" s="17"/>
      <c r="K191" s="18"/>
      <c r="L191" s="19"/>
      <c r="M191" s="20"/>
      <c r="N191" s="21"/>
      <c r="O191" s="30"/>
      <c r="P191" s="30"/>
      <c r="Q191" s="23"/>
      <c r="R191" s="24"/>
      <c r="U191" t="s">
        <v>112</v>
      </c>
      <c r="V191" t="s">
        <v>113</v>
      </c>
      <c r="W191" t="s">
        <v>114</v>
      </c>
      <c r="X191" t="s">
        <v>115</v>
      </c>
      <c r="Y191" t="s">
        <v>116</v>
      </c>
      <c r="AA191" t="s">
        <v>117</v>
      </c>
      <c r="AB191" t="s">
        <v>118</v>
      </c>
      <c r="AC191" t="s">
        <v>119</v>
      </c>
      <c r="AD191" t="s">
        <v>68</v>
      </c>
      <c r="AE191" t="s">
        <v>120</v>
      </c>
    </row>
    <row r="192" spans="1:32" ht="22.15" customHeight="1">
      <c r="A192" s="12">
        <v>128</v>
      </c>
      <c r="B192" s="12"/>
      <c r="C192" s="13"/>
      <c r="D192" s="13"/>
      <c r="E192" s="13"/>
      <c r="F192" s="14"/>
      <c r="G192" s="15"/>
      <c r="H192" s="15"/>
      <c r="I192" s="24"/>
      <c r="J192" s="17"/>
      <c r="K192" s="18"/>
      <c r="L192" s="19"/>
      <c r="M192" s="20"/>
      <c r="N192" s="21"/>
      <c r="O192" s="30"/>
      <c r="P192" s="30"/>
      <c r="Q192" s="23"/>
      <c r="R192" s="24"/>
      <c r="V192" t="s">
        <v>121</v>
      </c>
      <c r="W192" t="s">
        <v>122</v>
      </c>
      <c r="AE192" t="s">
        <v>123</v>
      </c>
    </row>
    <row r="193" spans="1:31" ht="22.15" customHeight="1">
      <c r="A193" s="12">
        <v>129</v>
      </c>
      <c r="B193" s="12"/>
      <c r="C193" s="13"/>
      <c r="D193" s="13"/>
      <c r="E193" s="13"/>
      <c r="F193" s="14"/>
      <c r="G193" s="15"/>
      <c r="H193" s="15"/>
      <c r="I193" s="24"/>
      <c r="J193" s="17"/>
      <c r="K193" s="18"/>
      <c r="L193" s="19"/>
      <c r="M193" s="20"/>
      <c r="N193" s="21"/>
      <c r="O193" s="30"/>
      <c r="P193" s="30"/>
      <c r="Q193" s="23"/>
      <c r="R193" s="24"/>
      <c r="U193" t="s">
        <v>124</v>
      </c>
      <c r="V193" t="s">
        <v>125</v>
      </c>
      <c r="W193" t="s">
        <v>126</v>
      </c>
      <c r="X193" t="s">
        <v>127</v>
      </c>
      <c r="Y193" t="s">
        <v>128</v>
      </c>
      <c r="AA193" t="s">
        <v>128</v>
      </c>
      <c r="AB193" t="s">
        <v>129</v>
      </c>
      <c r="AC193" t="s">
        <v>130</v>
      </c>
      <c r="AD193" t="s">
        <v>131</v>
      </c>
      <c r="AE193" t="s">
        <v>132</v>
      </c>
    </row>
    <row r="194" spans="1:31" ht="22.15" customHeight="1">
      <c r="A194" s="12">
        <v>130</v>
      </c>
      <c r="B194" s="12"/>
      <c r="C194" s="13"/>
      <c r="D194" s="13"/>
      <c r="E194" s="13"/>
      <c r="F194" s="14"/>
      <c r="G194" s="15"/>
      <c r="H194" s="15"/>
      <c r="I194" s="24"/>
      <c r="J194" s="17"/>
      <c r="K194" s="18"/>
      <c r="L194" s="19"/>
      <c r="M194" s="20"/>
      <c r="N194" s="21"/>
      <c r="O194" s="30"/>
      <c r="P194" s="30"/>
      <c r="Q194" s="23"/>
      <c r="R194" s="24"/>
      <c r="U194" t="s">
        <v>134</v>
      </c>
      <c r="X194" t="s">
        <v>135</v>
      </c>
      <c r="Y194" t="s">
        <v>136</v>
      </c>
      <c r="AA194" t="s">
        <v>136</v>
      </c>
      <c r="AB194" t="s">
        <v>137</v>
      </c>
      <c r="AC194" t="s">
        <v>138</v>
      </c>
      <c r="AD194" t="s">
        <v>139</v>
      </c>
    </row>
    <row r="195" spans="1:31" ht="22.15" customHeight="1">
      <c r="A195" s="12">
        <v>131</v>
      </c>
      <c r="B195" s="12"/>
      <c r="C195" s="13"/>
      <c r="D195" s="13"/>
      <c r="E195" s="13"/>
      <c r="F195" s="14"/>
      <c r="G195" s="15"/>
      <c r="H195" s="15"/>
      <c r="I195" s="24"/>
      <c r="J195" s="17"/>
      <c r="K195" s="18"/>
      <c r="L195" s="19"/>
      <c r="M195" s="20"/>
      <c r="N195" s="21"/>
      <c r="O195" s="30"/>
      <c r="P195" s="30"/>
      <c r="Q195" s="23"/>
      <c r="R195" s="24"/>
      <c r="U195" t="s">
        <v>140</v>
      </c>
      <c r="V195" t="s">
        <v>141</v>
      </c>
      <c r="W195" t="s">
        <v>142</v>
      </c>
      <c r="X195" t="s">
        <v>143</v>
      </c>
      <c r="Y195" t="s">
        <v>144</v>
      </c>
      <c r="AA195" t="s">
        <v>144</v>
      </c>
      <c r="AB195" t="s">
        <v>145</v>
      </c>
      <c r="AC195" t="s">
        <v>146</v>
      </c>
      <c r="AD195" t="s">
        <v>147</v>
      </c>
    </row>
    <row r="196" spans="1:31" ht="22.15" customHeight="1">
      <c r="A196" s="12">
        <v>132</v>
      </c>
      <c r="B196" s="12"/>
      <c r="C196" s="13"/>
      <c r="D196" s="13"/>
      <c r="E196" s="13"/>
      <c r="F196" s="14"/>
      <c r="G196" s="15"/>
      <c r="H196" s="15"/>
      <c r="I196" s="24"/>
      <c r="J196" s="17"/>
      <c r="K196" s="18"/>
      <c r="L196" s="19"/>
      <c r="M196" s="20"/>
      <c r="N196" s="21"/>
      <c r="O196" s="30"/>
      <c r="P196" s="30"/>
      <c r="Q196" s="23"/>
      <c r="R196" s="24"/>
      <c r="V196" t="s">
        <v>148</v>
      </c>
    </row>
    <row r="197" spans="1:31" ht="22.15" customHeight="1">
      <c r="A197" s="12">
        <v>133</v>
      </c>
      <c r="B197" s="12"/>
      <c r="C197" s="13"/>
      <c r="D197" s="13"/>
      <c r="E197" s="13"/>
      <c r="F197" s="14"/>
      <c r="G197" s="15"/>
      <c r="H197" s="15"/>
      <c r="I197" s="24"/>
      <c r="J197" s="17"/>
      <c r="K197" s="18"/>
      <c r="L197" s="19"/>
      <c r="M197" s="20"/>
      <c r="N197" s="21"/>
      <c r="O197" s="30"/>
      <c r="P197" s="30"/>
      <c r="Q197" s="23"/>
      <c r="R197" s="24"/>
      <c r="U197" t="s">
        <v>149</v>
      </c>
      <c r="W197" t="s">
        <v>150</v>
      </c>
      <c r="X197" t="s">
        <v>151</v>
      </c>
      <c r="Y197" t="s">
        <v>127</v>
      </c>
      <c r="AA197" t="s">
        <v>129</v>
      </c>
      <c r="AB197" t="s">
        <v>130</v>
      </c>
      <c r="AC197" t="s">
        <v>78</v>
      </c>
      <c r="AD197" t="s">
        <v>152</v>
      </c>
    </row>
    <row r="198" spans="1:31" ht="22.15" customHeight="1">
      <c r="A198" s="12">
        <v>134</v>
      </c>
      <c r="B198" s="12"/>
      <c r="C198" s="13"/>
      <c r="D198" s="13"/>
      <c r="E198" s="13"/>
      <c r="F198" s="14"/>
      <c r="G198" s="15"/>
      <c r="H198" s="15"/>
      <c r="I198" s="24"/>
      <c r="J198" s="17"/>
      <c r="K198" s="18"/>
      <c r="L198" s="19"/>
      <c r="M198" s="20"/>
      <c r="N198" s="21"/>
      <c r="O198" s="30"/>
      <c r="P198" s="30"/>
      <c r="Q198" s="23"/>
      <c r="R198" s="24"/>
      <c r="U198" t="s">
        <v>153</v>
      </c>
      <c r="V198" t="s">
        <v>154</v>
      </c>
      <c r="W198" t="s">
        <v>155</v>
      </c>
      <c r="X198" t="s">
        <v>156</v>
      </c>
      <c r="Y198" t="s">
        <v>135</v>
      </c>
      <c r="AA198" t="s">
        <v>137</v>
      </c>
      <c r="AB198" t="s">
        <v>138</v>
      </c>
      <c r="AC198" t="s">
        <v>86</v>
      </c>
      <c r="AD198" t="s">
        <v>157</v>
      </c>
    </row>
    <row r="199" spans="1:31" ht="22.15" customHeight="1">
      <c r="A199" s="12">
        <v>135</v>
      </c>
      <c r="B199" s="12"/>
      <c r="C199" s="13"/>
      <c r="D199" s="13"/>
      <c r="E199" s="13"/>
      <c r="F199" s="14"/>
      <c r="G199" s="15"/>
      <c r="H199" s="15"/>
      <c r="I199" s="24"/>
      <c r="J199" s="17"/>
      <c r="K199" s="18"/>
      <c r="L199" s="19"/>
      <c r="M199" s="20"/>
      <c r="N199" s="21"/>
      <c r="O199" s="30"/>
      <c r="P199" s="30"/>
      <c r="Q199" s="23"/>
      <c r="R199" s="24"/>
      <c r="U199" t="s">
        <v>158</v>
      </c>
      <c r="V199" t="s">
        <v>159</v>
      </c>
      <c r="X199" t="s">
        <v>160</v>
      </c>
      <c r="Y199" t="s">
        <v>143</v>
      </c>
      <c r="AA199" t="s">
        <v>145</v>
      </c>
      <c r="AB199" t="s">
        <v>146</v>
      </c>
      <c r="AC199" t="s">
        <v>96</v>
      </c>
      <c r="AD199" t="s">
        <v>161</v>
      </c>
    </row>
    <row r="200" spans="1:31" ht="22.15" customHeight="1">
      <c r="A200" s="12">
        <v>136</v>
      </c>
      <c r="B200" s="12"/>
      <c r="C200" s="13"/>
      <c r="D200" s="13"/>
      <c r="E200" s="13"/>
      <c r="F200" s="14"/>
      <c r="G200" s="15"/>
      <c r="H200" s="15"/>
      <c r="I200" s="24"/>
      <c r="J200" s="17"/>
      <c r="K200" s="18"/>
      <c r="L200" s="19"/>
      <c r="M200" s="20"/>
      <c r="N200" s="21"/>
      <c r="O200" s="30"/>
      <c r="P200" s="30"/>
      <c r="Q200" s="23"/>
      <c r="R200" s="24"/>
      <c r="V200" t="s">
        <v>162</v>
      </c>
      <c r="W200" t="s">
        <v>163</v>
      </c>
    </row>
    <row r="201" spans="1:31" ht="22.15" customHeight="1">
      <c r="A201" s="12">
        <v>137</v>
      </c>
      <c r="B201" s="12"/>
      <c r="C201" s="13"/>
      <c r="D201" s="13"/>
      <c r="E201" s="13"/>
      <c r="F201" s="14"/>
      <c r="G201" s="15"/>
      <c r="H201" s="15"/>
      <c r="I201" s="24"/>
      <c r="J201" s="17"/>
      <c r="K201" s="18"/>
      <c r="L201" s="19"/>
      <c r="M201" s="20"/>
      <c r="N201" s="21"/>
      <c r="O201" s="30"/>
      <c r="P201" s="30"/>
      <c r="Q201" s="23"/>
      <c r="R201" s="24"/>
      <c r="U201" t="s">
        <v>164</v>
      </c>
      <c r="W201" t="s">
        <v>165</v>
      </c>
      <c r="X201" t="s">
        <v>166</v>
      </c>
      <c r="Y201" t="s">
        <v>151</v>
      </c>
      <c r="AA201" t="s">
        <v>151</v>
      </c>
      <c r="AB201" t="s">
        <v>167</v>
      </c>
      <c r="AC201" t="s">
        <v>168</v>
      </c>
      <c r="AD201" t="s">
        <v>169</v>
      </c>
    </row>
    <row r="202" spans="1:31" ht="22.15" customHeight="1">
      <c r="A202" s="12">
        <v>138</v>
      </c>
      <c r="B202" s="12"/>
      <c r="C202" s="13"/>
      <c r="D202" s="13"/>
      <c r="E202" s="13"/>
      <c r="F202" s="14"/>
      <c r="G202" s="15"/>
      <c r="H202" s="15"/>
      <c r="I202" s="24"/>
      <c r="J202" s="17"/>
      <c r="K202" s="18"/>
      <c r="L202" s="19"/>
      <c r="M202" s="20"/>
      <c r="N202" s="21"/>
      <c r="O202" s="30"/>
      <c r="P202" s="30"/>
      <c r="Q202" s="23"/>
      <c r="R202" s="24"/>
      <c r="U202" t="s">
        <v>170</v>
      </c>
      <c r="V202" t="s">
        <v>171</v>
      </c>
      <c r="W202" t="s">
        <v>172</v>
      </c>
      <c r="Y202" t="s">
        <v>156</v>
      </c>
      <c r="AA202" t="s">
        <v>156</v>
      </c>
      <c r="AB202" t="s">
        <v>173</v>
      </c>
      <c r="AC202" t="s">
        <v>174</v>
      </c>
      <c r="AD202" t="s">
        <v>175</v>
      </c>
    </row>
    <row r="203" spans="1:31" ht="22.15" customHeight="1">
      <c r="A203" s="12">
        <v>139</v>
      </c>
      <c r="B203" s="12"/>
      <c r="C203" s="13"/>
      <c r="D203" s="13"/>
      <c r="E203" s="13"/>
      <c r="F203" s="14"/>
      <c r="G203" s="15"/>
      <c r="H203" s="15"/>
      <c r="I203" s="24"/>
      <c r="J203" s="17"/>
      <c r="K203" s="18"/>
      <c r="L203" s="19"/>
      <c r="M203" s="20"/>
      <c r="N203" s="21"/>
      <c r="O203" s="30"/>
      <c r="P203" s="30"/>
      <c r="Q203" s="23"/>
      <c r="R203" s="24"/>
      <c r="U203" t="s">
        <v>176</v>
      </c>
      <c r="V203" t="s">
        <v>177</v>
      </c>
      <c r="X203" t="s">
        <v>178</v>
      </c>
      <c r="Y203" t="s">
        <v>160</v>
      </c>
      <c r="AA203" t="s">
        <v>160</v>
      </c>
      <c r="AB203" t="s">
        <v>179</v>
      </c>
      <c r="AC203" t="s">
        <v>180</v>
      </c>
      <c r="AD203" t="s">
        <v>181</v>
      </c>
    </row>
    <row r="204" spans="1:31" ht="22.15" customHeight="1">
      <c r="A204" s="12">
        <v>140</v>
      </c>
      <c r="B204" s="12"/>
      <c r="C204" s="13"/>
      <c r="D204" s="13"/>
      <c r="E204" s="13"/>
      <c r="F204" s="14"/>
      <c r="G204" s="15"/>
      <c r="H204" s="15"/>
      <c r="I204" s="24"/>
      <c r="J204" s="17"/>
      <c r="K204" s="18"/>
      <c r="L204" s="19"/>
      <c r="M204" s="20"/>
      <c r="N204" s="21"/>
      <c r="O204" s="30"/>
      <c r="P204" s="30"/>
      <c r="Q204" s="23"/>
      <c r="R204" s="24"/>
      <c r="V204" t="s">
        <v>184</v>
      </c>
      <c r="W204" t="s">
        <v>185</v>
      </c>
      <c r="X204" t="s">
        <v>186</v>
      </c>
    </row>
    <row r="205" spans="1:31" ht="18" customHeight="1">
      <c r="A205" s="47" t="s">
        <v>302</v>
      </c>
      <c r="B205" s="48"/>
      <c r="C205" s="48"/>
      <c r="D205" s="48"/>
      <c r="E205" s="49"/>
      <c r="F205" s="50" t="s">
        <v>183</v>
      </c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2"/>
      <c r="U205" t="s">
        <v>320</v>
      </c>
      <c r="W205" t="s">
        <v>321</v>
      </c>
      <c r="X205" t="s">
        <v>322</v>
      </c>
      <c r="Y205" t="s">
        <v>323</v>
      </c>
      <c r="AA205" s="16" t="s">
        <v>167</v>
      </c>
      <c r="AB205" s="16" t="s">
        <v>168</v>
      </c>
      <c r="AC205" s="16" t="s">
        <v>131</v>
      </c>
      <c r="AD205" s="16" t="s">
        <v>253</v>
      </c>
    </row>
    <row r="206" spans="1:31" ht="18" customHeight="1">
      <c r="A206" s="12">
        <v>1</v>
      </c>
      <c r="B206" s="47" t="s">
        <v>187</v>
      </c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9"/>
      <c r="AA206" s="27" t="s">
        <v>188</v>
      </c>
      <c r="AB206" s="27" t="s">
        <v>189</v>
      </c>
      <c r="AC206" s="27" t="s">
        <v>190</v>
      </c>
    </row>
    <row r="207" spans="1:31" ht="18" customHeight="1">
      <c r="A207" s="23">
        <v>2</v>
      </c>
      <c r="B207" s="53" t="s">
        <v>191</v>
      </c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5"/>
      <c r="U207" t="s">
        <v>192</v>
      </c>
      <c r="V207" s="16" t="s">
        <v>193</v>
      </c>
      <c r="W207" t="s">
        <v>194</v>
      </c>
      <c r="Y207" t="s">
        <v>195</v>
      </c>
      <c r="AA207" s="16" t="s">
        <v>173</v>
      </c>
      <c r="AB207" s="16" t="s">
        <v>174</v>
      </c>
      <c r="AC207" s="16" t="s">
        <v>139</v>
      </c>
      <c r="AD207" s="16" t="s">
        <v>196</v>
      </c>
    </row>
    <row r="208" spans="1:31" ht="18" customHeight="1">
      <c r="A208" s="23">
        <v>3</v>
      </c>
      <c r="B208" s="47" t="s">
        <v>197</v>
      </c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9"/>
      <c r="V208" s="16" t="s">
        <v>198</v>
      </c>
      <c r="X208" s="16" t="s">
        <v>199</v>
      </c>
      <c r="Y208" t="s">
        <v>200</v>
      </c>
      <c r="AA208" s="16" t="s">
        <v>179</v>
      </c>
      <c r="AB208" s="16" t="s">
        <v>180</v>
      </c>
      <c r="AC208" s="16" t="s">
        <v>147</v>
      </c>
      <c r="AD208" s="16" t="s">
        <v>201</v>
      </c>
    </row>
    <row r="209" spans="1:32" ht="18" customHeight="1">
      <c r="A209" s="37" t="s">
        <v>202</v>
      </c>
      <c r="B209" s="38"/>
      <c r="C209" s="39">
        <f>C29</f>
        <v>0</v>
      </c>
      <c r="D209" s="39"/>
      <c r="E209" s="37" t="s">
        <v>203</v>
      </c>
      <c r="F209" s="40"/>
      <c r="G209" s="41">
        <f>G29</f>
        <v>0</v>
      </c>
      <c r="H209" s="42"/>
      <c r="I209" s="42"/>
      <c r="J209" s="42"/>
      <c r="K209" s="28" t="s">
        <v>204</v>
      </c>
      <c r="L209" s="43" t="s">
        <v>205</v>
      </c>
      <c r="M209" s="43"/>
      <c r="N209" s="43"/>
      <c r="O209" s="43"/>
      <c r="P209" s="43"/>
      <c r="Q209" s="43"/>
      <c r="R209" s="43"/>
      <c r="U209" t="s">
        <v>206</v>
      </c>
      <c r="W209" s="16" t="s">
        <v>207</v>
      </c>
      <c r="X209" s="16" t="s">
        <v>208</v>
      </c>
    </row>
    <row r="210" spans="1:32" ht="18" customHeight="1">
      <c r="A210" s="37" t="s">
        <v>209</v>
      </c>
      <c r="B210" s="38"/>
      <c r="C210" s="39">
        <f>C30</f>
        <v>0</v>
      </c>
      <c r="D210" s="39"/>
      <c r="E210" s="37" t="s">
        <v>210</v>
      </c>
      <c r="F210" s="40"/>
      <c r="G210" s="41">
        <f>G30</f>
        <v>0</v>
      </c>
      <c r="H210" s="42"/>
      <c r="I210" s="42"/>
      <c r="J210" s="42"/>
      <c r="K210" s="28" t="s">
        <v>204</v>
      </c>
      <c r="L210" s="43" t="s">
        <v>205</v>
      </c>
      <c r="M210" s="43"/>
      <c r="N210" s="43"/>
      <c r="O210" s="43"/>
      <c r="P210" s="43"/>
      <c r="Q210" s="43"/>
      <c r="R210" s="43"/>
      <c r="V210" s="16" t="s">
        <v>211</v>
      </c>
      <c r="W210" s="16" t="s">
        <v>212</v>
      </c>
      <c r="Y210" t="s">
        <v>213</v>
      </c>
      <c r="AA210" s="16" t="s">
        <v>214</v>
      </c>
      <c r="AB210" s="16" t="s">
        <v>214</v>
      </c>
      <c r="AC210" s="16" t="s">
        <v>215</v>
      </c>
      <c r="AD210" s="16" t="s">
        <v>216</v>
      </c>
    </row>
    <row r="211" spans="1:32" ht="48" customHeight="1">
      <c r="A211" s="69" t="s">
        <v>0</v>
      </c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1" t="s">
        <v>1</v>
      </c>
      <c r="M211" s="71"/>
      <c r="N211" s="71"/>
      <c r="O211" s="71"/>
      <c r="P211" s="71"/>
      <c r="Q211" s="1" t="s">
        <v>2</v>
      </c>
      <c r="R211" s="2" t="s">
        <v>3</v>
      </c>
      <c r="S211" s="3"/>
      <c r="T211" s="3" t="s">
        <v>4</v>
      </c>
      <c r="U211" s="4" t="s">
        <v>5</v>
      </c>
      <c r="V211" s="4" t="s">
        <v>6</v>
      </c>
      <c r="W211" s="4" t="s">
        <v>7</v>
      </c>
      <c r="X211" s="4" t="s">
        <v>8</v>
      </c>
      <c r="Y211" s="4" t="s">
        <v>9</v>
      </c>
      <c r="Z211" s="4"/>
      <c r="AA211" s="4" t="s">
        <v>10</v>
      </c>
      <c r="AB211" s="4" t="s">
        <v>11</v>
      </c>
      <c r="AC211" s="4" t="s">
        <v>12</v>
      </c>
      <c r="AD211" s="4" t="s">
        <v>13</v>
      </c>
      <c r="AE211" s="4" t="s">
        <v>14</v>
      </c>
      <c r="AF211" s="4" t="s">
        <v>15</v>
      </c>
    </row>
    <row r="212" spans="1:32" s="8" customFormat="1" ht="18" customHeight="1">
      <c r="A212" s="5" t="s">
        <v>16</v>
      </c>
      <c r="B212" s="44">
        <f>B2</f>
        <v>0</v>
      </c>
      <c r="C212" s="45"/>
      <c r="D212" s="45"/>
      <c r="E212" s="6" t="str">
        <f>E2</f>
        <v>Version:1</v>
      </c>
      <c r="F212" s="72" t="s">
        <v>18</v>
      </c>
      <c r="G212" s="74" t="s">
        <v>19</v>
      </c>
      <c r="H212" s="74" t="s">
        <v>20</v>
      </c>
      <c r="I212" s="77" t="s">
        <v>21</v>
      </c>
      <c r="J212" s="62" t="s">
        <v>22</v>
      </c>
      <c r="K212" s="79" t="s">
        <v>23</v>
      </c>
      <c r="L212" s="62" t="s">
        <v>24</v>
      </c>
      <c r="M212" s="56" t="s">
        <v>25</v>
      </c>
      <c r="N212" s="59" t="s">
        <v>26</v>
      </c>
      <c r="O212" s="62" t="s">
        <v>27</v>
      </c>
      <c r="P212" s="65" t="s">
        <v>28</v>
      </c>
      <c r="Q212" s="66" t="s">
        <v>29</v>
      </c>
      <c r="R212" s="68" t="s">
        <v>30</v>
      </c>
      <c r="S212"/>
      <c r="T212" s="7" t="str">
        <f>IF(C245&gt;18,IF(C245=20,Nennweite20,IF(C245=60,U214,IF(C245=50,Nennweite50,IF(C245=25,Nennweite25,IF(C245=32,Nennweite32,IF(C245=40,Nennweite40,"&gt;")))))),IF(C245=8,Nennweite8,IF(C245=6,Nennweite6,IF(C245=10,Nennweite10,IF(C245=18,Nennweite18,IF(C245=16,Nennweite16,IF(C245=12,Nennweite12,"")))))))</f>
        <v/>
      </c>
      <c r="U212" t="s">
        <v>31</v>
      </c>
      <c r="V212" t="s">
        <v>32</v>
      </c>
      <c r="W212" t="s">
        <v>33</v>
      </c>
      <c r="X212" t="s">
        <v>34</v>
      </c>
      <c r="Y212" t="s">
        <v>35</v>
      </c>
      <c r="Z212"/>
      <c r="AA212" t="s">
        <v>36</v>
      </c>
      <c r="AB212" t="s">
        <v>37</v>
      </c>
      <c r="AC212" t="s">
        <v>38</v>
      </c>
      <c r="AD212" t="s">
        <v>39</v>
      </c>
      <c r="AE212" t="s">
        <v>40</v>
      </c>
      <c r="AF212" t="s">
        <v>41</v>
      </c>
    </row>
    <row r="213" spans="1:32" ht="18" customHeight="1">
      <c r="A213" s="5" t="s">
        <v>42</v>
      </c>
      <c r="B213" s="44">
        <f>B3</f>
        <v>0</v>
      </c>
      <c r="C213" s="45"/>
      <c r="D213" s="45"/>
      <c r="E213" s="46"/>
      <c r="F213" s="72"/>
      <c r="G213" s="75"/>
      <c r="H213" s="75"/>
      <c r="I213" s="77"/>
      <c r="J213" s="63"/>
      <c r="K213" s="80"/>
      <c r="L213" s="63"/>
      <c r="M213" s="57"/>
      <c r="N213" s="60"/>
      <c r="O213" s="63"/>
      <c r="P213" s="63"/>
      <c r="Q213" s="66"/>
      <c r="R213" s="66"/>
      <c r="U213" t="s">
        <v>43</v>
      </c>
      <c r="V213" t="s">
        <v>44</v>
      </c>
      <c r="W213" t="s">
        <v>45</v>
      </c>
      <c r="X213" t="s">
        <v>46</v>
      </c>
      <c r="Y213" t="s">
        <v>47</v>
      </c>
      <c r="AA213" t="s">
        <v>48</v>
      </c>
      <c r="AB213" t="s">
        <v>49</v>
      </c>
      <c r="AC213" t="s">
        <v>50</v>
      </c>
      <c r="AD213" t="s">
        <v>51</v>
      </c>
      <c r="AE213" t="s">
        <v>52</v>
      </c>
      <c r="AF213" t="s">
        <v>53</v>
      </c>
    </row>
    <row r="214" spans="1:32" ht="18" customHeight="1" thickBot="1">
      <c r="A214" s="9" t="s">
        <v>54</v>
      </c>
      <c r="B214" s="10" t="s">
        <v>55</v>
      </c>
      <c r="C214" s="10" t="s">
        <v>56</v>
      </c>
      <c r="D214" s="11" t="s">
        <v>57</v>
      </c>
      <c r="E214" s="9" t="s">
        <v>58</v>
      </c>
      <c r="F214" s="73"/>
      <c r="G214" s="76"/>
      <c r="H214" s="76"/>
      <c r="I214" s="78"/>
      <c r="J214" s="64"/>
      <c r="K214" s="81"/>
      <c r="L214" s="64"/>
      <c r="M214" s="58"/>
      <c r="N214" s="61"/>
      <c r="O214" s="64"/>
      <c r="P214" s="64"/>
      <c r="Q214" s="67"/>
      <c r="R214" s="67"/>
      <c r="U214" t="s">
        <v>59</v>
      </c>
      <c r="V214" t="s">
        <v>60</v>
      </c>
      <c r="W214" t="s">
        <v>61</v>
      </c>
      <c r="X214" t="s">
        <v>62</v>
      </c>
      <c r="Y214" t="s">
        <v>63</v>
      </c>
      <c r="AA214" t="s">
        <v>64</v>
      </c>
      <c r="AB214" t="s">
        <v>65</v>
      </c>
      <c r="AC214" t="s">
        <v>66</v>
      </c>
      <c r="AD214" t="s">
        <v>67</v>
      </c>
      <c r="AE214" t="s">
        <v>68</v>
      </c>
      <c r="AF214" t="s">
        <v>69</v>
      </c>
    </row>
    <row r="215" spans="1:32" ht="22.15" customHeight="1">
      <c r="A215" s="12">
        <v>141</v>
      </c>
      <c r="B215" s="13"/>
      <c r="C215" s="13"/>
      <c r="D215" s="13"/>
      <c r="E215" s="13"/>
      <c r="F215" s="14"/>
      <c r="G215" s="15"/>
      <c r="H215" s="15"/>
      <c r="I215" s="24"/>
      <c r="J215" s="17"/>
      <c r="K215" s="18"/>
      <c r="L215" s="19"/>
      <c r="M215" s="20"/>
      <c r="N215" s="21"/>
      <c r="O215" s="30"/>
      <c r="P215" s="30"/>
      <c r="Q215" s="23"/>
      <c r="R215" s="24"/>
      <c r="U215" t="s">
        <v>70</v>
      </c>
      <c r="V215" t="s">
        <v>71</v>
      </c>
      <c r="W215" t="s">
        <v>72</v>
      </c>
      <c r="X215" t="s">
        <v>73</v>
      </c>
      <c r="Y215" t="s">
        <v>74</v>
      </c>
      <c r="AA215" t="s">
        <v>75</v>
      </c>
      <c r="AB215" t="s">
        <v>76</v>
      </c>
      <c r="AC215" t="s">
        <v>77</v>
      </c>
      <c r="AD215" t="s">
        <v>78</v>
      </c>
      <c r="AE215" t="s">
        <v>79</v>
      </c>
    </row>
    <row r="216" spans="1:32" ht="22.15" customHeight="1">
      <c r="A216" s="12">
        <v>142</v>
      </c>
      <c r="B216" s="13"/>
      <c r="C216" s="13"/>
      <c r="D216" s="13"/>
      <c r="E216" s="13"/>
      <c r="F216" s="14"/>
      <c r="G216" s="15"/>
      <c r="H216" s="15"/>
      <c r="I216" s="24"/>
      <c r="J216" s="17"/>
      <c r="K216" s="18"/>
      <c r="L216" s="19"/>
      <c r="M216" s="20"/>
      <c r="N216" s="21"/>
      <c r="O216" s="30"/>
      <c r="P216" s="30"/>
      <c r="Q216" s="23"/>
      <c r="R216" s="24"/>
      <c r="U216" t="s">
        <v>80</v>
      </c>
      <c r="X216" t="s">
        <v>81</v>
      </c>
      <c r="Y216" t="s">
        <v>82</v>
      </c>
      <c r="AA216" t="s">
        <v>83</v>
      </c>
      <c r="AB216" t="s">
        <v>84</v>
      </c>
      <c r="AC216" t="s">
        <v>85</v>
      </c>
      <c r="AD216" t="s">
        <v>86</v>
      </c>
      <c r="AE216" t="s">
        <v>87</v>
      </c>
    </row>
    <row r="217" spans="1:32" ht="22.15" customHeight="1">
      <c r="A217" s="12">
        <v>143</v>
      </c>
      <c r="B217" s="13"/>
      <c r="C217" s="13"/>
      <c r="D217" s="13"/>
      <c r="E217" s="13"/>
      <c r="F217" s="14"/>
      <c r="G217" s="15"/>
      <c r="H217" s="15"/>
      <c r="I217" s="24"/>
      <c r="J217" s="17"/>
      <c r="K217" s="18"/>
      <c r="L217" s="19"/>
      <c r="M217" s="20"/>
      <c r="N217" s="21"/>
      <c r="O217" s="30"/>
      <c r="P217" s="30"/>
      <c r="Q217" s="23"/>
      <c r="R217" s="24"/>
      <c r="U217" t="s">
        <v>88</v>
      </c>
      <c r="V217" t="s">
        <v>89</v>
      </c>
      <c r="W217" t="s">
        <v>90</v>
      </c>
      <c r="X217" t="s">
        <v>91</v>
      </c>
      <c r="Y217" t="s">
        <v>92</v>
      </c>
      <c r="AA217" t="s">
        <v>93</v>
      </c>
      <c r="AB217" t="s">
        <v>94</v>
      </c>
      <c r="AC217" t="s">
        <v>95</v>
      </c>
      <c r="AD217" t="s">
        <v>96</v>
      </c>
      <c r="AE217" t="s">
        <v>97</v>
      </c>
    </row>
    <row r="218" spans="1:32" ht="22.15" customHeight="1">
      <c r="A218" s="12">
        <v>144</v>
      </c>
      <c r="B218" s="12"/>
      <c r="C218" s="13"/>
      <c r="D218" s="13"/>
      <c r="E218" s="13"/>
      <c r="F218" s="14"/>
      <c r="G218" s="15"/>
      <c r="H218" s="15"/>
      <c r="I218" s="24"/>
      <c r="J218" s="17"/>
      <c r="K218" s="18"/>
      <c r="L218" s="19"/>
      <c r="M218" s="20"/>
      <c r="N218" s="21"/>
      <c r="O218" s="30"/>
      <c r="P218" s="30"/>
      <c r="Q218" s="23"/>
      <c r="R218" s="24"/>
      <c r="V218" t="s">
        <v>98</v>
      </c>
      <c r="W218" t="s">
        <v>99</v>
      </c>
    </row>
    <row r="219" spans="1:32" ht="22.15" customHeight="1">
      <c r="A219" s="12">
        <v>145</v>
      </c>
      <c r="B219" s="12"/>
      <c r="C219" s="13"/>
      <c r="D219" s="13"/>
      <c r="E219" s="13"/>
      <c r="F219" s="14"/>
      <c r="G219" s="15"/>
      <c r="H219" s="15"/>
      <c r="I219" s="24"/>
      <c r="J219" s="17"/>
      <c r="K219" s="18"/>
      <c r="L219" s="19"/>
      <c r="M219" s="20"/>
      <c r="N219" s="21"/>
      <c r="O219" s="30"/>
      <c r="P219" s="30"/>
      <c r="Q219" s="23"/>
      <c r="R219" s="24"/>
      <c r="U219" t="s">
        <v>100</v>
      </c>
      <c r="V219" t="s">
        <v>101</v>
      </c>
      <c r="W219" t="s">
        <v>102</v>
      </c>
      <c r="X219" t="s">
        <v>103</v>
      </c>
      <c r="Y219" t="s">
        <v>103</v>
      </c>
      <c r="AA219" t="s">
        <v>104</v>
      </c>
      <c r="AB219" t="s">
        <v>105</v>
      </c>
      <c r="AC219" t="s">
        <v>106</v>
      </c>
      <c r="AD219" t="s">
        <v>40</v>
      </c>
      <c r="AE219" t="s">
        <v>107</v>
      </c>
    </row>
    <row r="220" spans="1:32" ht="22.15" customHeight="1">
      <c r="A220" s="12">
        <v>146</v>
      </c>
      <c r="B220" s="12"/>
      <c r="C220" s="13"/>
      <c r="D220" s="13"/>
      <c r="E220" s="13"/>
      <c r="F220" s="14"/>
      <c r="G220" s="15"/>
      <c r="H220" s="15"/>
      <c r="I220" s="24"/>
      <c r="J220" s="17"/>
      <c r="K220" s="18"/>
      <c r="L220" s="19"/>
      <c r="M220" s="20"/>
      <c r="N220" s="21"/>
      <c r="O220" s="30"/>
      <c r="P220" s="30"/>
      <c r="Q220" s="23"/>
      <c r="R220" s="24"/>
      <c r="X220" t="s">
        <v>108</v>
      </c>
      <c r="Y220" t="s">
        <v>108</v>
      </c>
      <c r="AA220" t="s">
        <v>109</v>
      </c>
      <c r="AB220" t="s">
        <v>110</v>
      </c>
      <c r="AC220" t="s">
        <v>111</v>
      </c>
      <c r="AD220" t="s">
        <v>52</v>
      </c>
    </row>
    <row r="221" spans="1:32" ht="22.15" customHeight="1">
      <c r="A221" s="12">
        <v>147</v>
      </c>
      <c r="B221" s="12"/>
      <c r="C221" s="13"/>
      <c r="D221" s="13"/>
      <c r="E221" s="13"/>
      <c r="F221" s="14"/>
      <c r="G221" s="15"/>
      <c r="H221" s="15"/>
      <c r="I221" s="24"/>
      <c r="J221" s="17"/>
      <c r="K221" s="18"/>
      <c r="L221" s="19"/>
      <c r="M221" s="20"/>
      <c r="N221" s="21"/>
      <c r="O221" s="30"/>
      <c r="P221" s="30"/>
      <c r="Q221" s="23"/>
      <c r="R221" s="24"/>
      <c r="U221" t="s">
        <v>112</v>
      </c>
      <c r="V221" t="s">
        <v>113</v>
      </c>
      <c r="W221" t="s">
        <v>114</v>
      </c>
      <c r="X221" t="s">
        <v>115</v>
      </c>
      <c r="Y221" t="s">
        <v>116</v>
      </c>
      <c r="AA221" t="s">
        <v>117</v>
      </c>
      <c r="AB221" t="s">
        <v>118</v>
      </c>
      <c r="AC221" t="s">
        <v>119</v>
      </c>
      <c r="AD221" t="s">
        <v>68</v>
      </c>
      <c r="AE221" t="s">
        <v>120</v>
      </c>
    </row>
    <row r="222" spans="1:32" ht="22.15" customHeight="1">
      <c r="A222" s="12">
        <v>148</v>
      </c>
      <c r="B222" s="12"/>
      <c r="C222" s="13"/>
      <c r="D222" s="13"/>
      <c r="E222" s="13"/>
      <c r="F222" s="14"/>
      <c r="G222" s="15"/>
      <c r="H222" s="15"/>
      <c r="I222" s="24"/>
      <c r="J222" s="17"/>
      <c r="K222" s="18"/>
      <c r="L222" s="19"/>
      <c r="M222" s="20"/>
      <c r="N222" s="21"/>
      <c r="O222" s="30"/>
      <c r="P222" s="30"/>
      <c r="Q222" s="23"/>
      <c r="R222" s="24"/>
      <c r="V222" t="s">
        <v>121</v>
      </c>
      <c r="W222" t="s">
        <v>122</v>
      </c>
      <c r="AE222" t="s">
        <v>123</v>
      </c>
    </row>
    <row r="223" spans="1:32" ht="22.15" customHeight="1">
      <c r="A223" s="12">
        <v>149</v>
      </c>
      <c r="B223" s="12"/>
      <c r="C223" s="13"/>
      <c r="D223" s="13"/>
      <c r="E223" s="13"/>
      <c r="F223" s="14"/>
      <c r="G223" s="15"/>
      <c r="H223" s="15"/>
      <c r="I223" s="24"/>
      <c r="J223" s="17"/>
      <c r="K223" s="18"/>
      <c r="L223" s="19"/>
      <c r="M223" s="20"/>
      <c r="N223" s="21"/>
      <c r="O223" s="30"/>
      <c r="P223" s="30"/>
      <c r="Q223" s="23"/>
      <c r="R223" s="24"/>
      <c r="U223" t="s">
        <v>124</v>
      </c>
      <c r="V223" t="s">
        <v>125</v>
      </c>
      <c r="W223" t="s">
        <v>126</v>
      </c>
      <c r="X223" t="s">
        <v>127</v>
      </c>
      <c r="Y223" t="s">
        <v>128</v>
      </c>
      <c r="AA223" t="s">
        <v>128</v>
      </c>
      <c r="AB223" t="s">
        <v>129</v>
      </c>
      <c r="AC223" t="s">
        <v>130</v>
      </c>
      <c r="AD223" t="s">
        <v>131</v>
      </c>
      <c r="AE223" t="s">
        <v>132</v>
      </c>
    </row>
    <row r="224" spans="1:32" ht="22.15" customHeight="1">
      <c r="A224" s="12">
        <v>150</v>
      </c>
      <c r="B224" s="12"/>
      <c r="C224" s="13"/>
      <c r="D224" s="13"/>
      <c r="E224" s="13"/>
      <c r="F224" s="14"/>
      <c r="G224" s="15"/>
      <c r="H224" s="15"/>
      <c r="I224" s="24"/>
      <c r="J224" s="17"/>
      <c r="K224" s="18"/>
      <c r="L224" s="19"/>
      <c r="M224" s="20"/>
      <c r="N224" s="21"/>
      <c r="O224" s="30"/>
      <c r="P224" s="30"/>
      <c r="Q224" s="23"/>
      <c r="R224" s="24"/>
      <c r="U224" t="s">
        <v>134</v>
      </c>
      <c r="X224" t="s">
        <v>135</v>
      </c>
      <c r="Y224" t="s">
        <v>136</v>
      </c>
      <c r="AA224" t="s">
        <v>136</v>
      </c>
      <c r="AB224" t="s">
        <v>137</v>
      </c>
      <c r="AC224" t="s">
        <v>138</v>
      </c>
      <c r="AD224" t="s">
        <v>139</v>
      </c>
    </row>
    <row r="225" spans="1:30" ht="22.15" customHeight="1">
      <c r="A225" s="12">
        <v>151</v>
      </c>
      <c r="B225" s="12"/>
      <c r="C225" s="13"/>
      <c r="D225" s="13"/>
      <c r="E225" s="13"/>
      <c r="F225" s="14"/>
      <c r="G225" s="15"/>
      <c r="H225" s="15"/>
      <c r="I225" s="24"/>
      <c r="J225" s="17"/>
      <c r="K225" s="18"/>
      <c r="L225" s="19"/>
      <c r="M225" s="20"/>
      <c r="N225" s="21"/>
      <c r="O225" s="30"/>
      <c r="P225" s="30"/>
      <c r="Q225" s="23"/>
      <c r="R225" s="24"/>
      <c r="U225" t="s">
        <v>140</v>
      </c>
      <c r="V225" t="s">
        <v>141</v>
      </c>
      <c r="W225" t="s">
        <v>142</v>
      </c>
      <c r="X225" t="s">
        <v>143</v>
      </c>
      <c r="Y225" t="s">
        <v>144</v>
      </c>
      <c r="AA225" t="s">
        <v>144</v>
      </c>
      <c r="AB225" t="s">
        <v>145</v>
      </c>
      <c r="AC225" t="s">
        <v>146</v>
      </c>
      <c r="AD225" t="s">
        <v>147</v>
      </c>
    </row>
    <row r="226" spans="1:30" ht="22.15" customHeight="1">
      <c r="A226" s="12">
        <v>152</v>
      </c>
      <c r="B226" s="12"/>
      <c r="C226" s="13"/>
      <c r="D226" s="13"/>
      <c r="E226" s="13"/>
      <c r="F226" s="14"/>
      <c r="G226" s="15"/>
      <c r="H226" s="15"/>
      <c r="I226" s="24"/>
      <c r="J226" s="17"/>
      <c r="K226" s="18"/>
      <c r="L226" s="19"/>
      <c r="M226" s="20"/>
      <c r="N226" s="21"/>
      <c r="O226" s="30"/>
      <c r="P226" s="30"/>
      <c r="Q226" s="23"/>
      <c r="R226" s="24"/>
      <c r="V226" t="s">
        <v>148</v>
      </c>
    </row>
    <row r="227" spans="1:30" ht="22.15" customHeight="1">
      <c r="A227" s="12">
        <v>153</v>
      </c>
      <c r="B227" s="12"/>
      <c r="C227" s="13"/>
      <c r="D227" s="13"/>
      <c r="E227" s="13"/>
      <c r="F227" s="14"/>
      <c r="G227" s="15"/>
      <c r="H227" s="15"/>
      <c r="I227" s="24"/>
      <c r="J227" s="17"/>
      <c r="K227" s="18"/>
      <c r="L227" s="19"/>
      <c r="M227" s="20"/>
      <c r="N227" s="21"/>
      <c r="O227" s="30"/>
      <c r="P227" s="30"/>
      <c r="Q227" s="23"/>
      <c r="R227" s="24"/>
      <c r="U227" t="s">
        <v>149</v>
      </c>
      <c r="W227" t="s">
        <v>150</v>
      </c>
      <c r="X227" t="s">
        <v>151</v>
      </c>
      <c r="Y227" t="s">
        <v>127</v>
      </c>
      <c r="AA227" t="s">
        <v>129</v>
      </c>
      <c r="AB227" t="s">
        <v>130</v>
      </c>
      <c r="AC227" t="s">
        <v>78</v>
      </c>
      <c r="AD227" t="s">
        <v>152</v>
      </c>
    </row>
    <row r="228" spans="1:30" ht="22.15" customHeight="1">
      <c r="A228" s="12">
        <v>154</v>
      </c>
      <c r="B228" s="12"/>
      <c r="C228" s="13"/>
      <c r="D228" s="13"/>
      <c r="E228" s="13"/>
      <c r="F228" s="14"/>
      <c r="G228" s="15"/>
      <c r="H228" s="15"/>
      <c r="I228" s="24"/>
      <c r="J228" s="17"/>
      <c r="K228" s="18"/>
      <c r="L228" s="19"/>
      <c r="M228" s="20"/>
      <c r="N228" s="21"/>
      <c r="O228" s="30"/>
      <c r="P228" s="30"/>
      <c r="Q228" s="23"/>
      <c r="R228" s="24"/>
      <c r="U228" t="s">
        <v>153</v>
      </c>
      <c r="V228" t="s">
        <v>154</v>
      </c>
      <c r="W228" t="s">
        <v>155</v>
      </c>
      <c r="X228" t="s">
        <v>156</v>
      </c>
      <c r="Y228" t="s">
        <v>135</v>
      </c>
      <c r="AA228" t="s">
        <v>137</v>
      </c>
      <c r="AB228" t="s">
        <v>138</v>
      </c>
      <c r="AC228" t="s">
        <v>86</v>
      </c>
      <c r="AD228" t="s">
        <v>157</v>
      </c>
    </row>
    <row r="229" spans="1:30" ht="22.15" customHeight="1">
      <c r="A229" s="12">
        <v>155</v>
      </c>
      <c r="B229" s="12"/>
      <c r="C229" s="13"/>
      <c r="D229" s="13"/>
      <c r="E229" s="13"/>
      <c r="F229" s="14"/>
      <c r="G229" s="15"/>
      <c r="H229" s="15"/>
      <c r="I229" s="24"/>
      <c r="J229" s="17"/>
      <c r="K229" s="18"/>
      <c r="L229" s="19"/>
      <c r="M229" s="20"/>
      <c r="N229" s="21"/>
      <c r="O229" s="30"/>
      <c r="P229" s="30"/>
      <c r="Q229" s="23"/>
      <c r="R229" s="24"/>
      <c r="U229" t="s">
        <v>158</v>
      </c>
      <c r="V229" t="s">
        <v>159</v>
      </c>
      <c r="X229" t="s">
        <v>160</v>
      </c>
      <c r="Y229" t="s">
        <v>143</v>
      </c>
      <c r="AA229" t="s">
        <v>145</v>
      </c>
      <c r="AB229" t="s">
        <v>146</v>
      </c>
      <c r="AC229" t="s">
        <v>96</v>
      </c>
      <c r="AD229" t="s">
        <v>161</v>
      </c>
    </row>
    <row r="230" spans="1:30" ht="22.15" customHeight="1">
      <c r="A230" s="12">
        <v>156</v>
      </c>
      <c r="B230" s="12"/>
      <c r="C230" s="13"/>
      <c r="D230" s="13"/>
      <c r="E230" s="13"/>
      <c r="F230" s="14"/>
      <c r="G230" s="15"/>
      <c r="H230" s="15"/>
      <c r="I230" s="24"/>
      <c r="J230" s="17"/>
      <c r="K230" s="18"/>
      <c r="L230" s="19"/>
      <c r="M230" s="20"/>
      <c r="N230" s="21"/>
      <c r="O230" s="30"/>
      <c r="P230" s="30"/>
      <c r="Q230" s="23"/>
      <c r="R230" s="24"/>
      <c r="V230" t="s">
        <v>162</v>
      </c>
      <c r="W230" t="s">
        <v>163</v>
      </c>
    </row>
    <row r="231" spans="1:30" ht="22.15" customHeight="1">
      <c r="A231" s="12">
        <v>157</v>
      </c>
      <c r="B231" s="12"/>
      <c r="C231" s="13"/>
      <c r="D231" s="13"/>
      <c r="E231" s="13"/>
      <c r="F231" s="14"/>
      <c r="G231" s="15"/>
      <c r="H231" s="15"/>
      <c r="I231" s="24"/>
      <c r="J231" s="17"/>
      <c r="K231" s="18"/>
      <c r="L231" s="19"/>
      <c r="M231" s="20"/>
      <c r="N231" s="21"/>
      <c r="O231" s="30"/>
      <c r="P231" s="30"/>
      <c r="Q231" s="23"/>
      <c r="R231" s="24"/>
      <c r="U231" t="s">
        <v>164</v>
      </c>
      <c r="W231" t="s">
        <v>165</v>
      </c>
      <c r="X231" t="s">
        <v>166</v>
      </c>
      <c r="Y231" t="s">
        <v>151</v>
      </c>
      <c r="AA231" t="s">
        <v>151</v>
      </c>
      <c r="AB231" t="s">
        <v>167</v>
      </c>
      <c r="AC231" t="s">
        <v>168</v>
      </c>
      <c r="AD231" t="s">
        <v>169</v>
      </c>
    </row>
    <row r="232" spans="1:30" ht="22.15" customHeight="1">
      <c r="A232" s="12">
        <v>158</v>
      </c>
      <c r="B232" s="12"/>
      <c r="C232" s="13"/>
      <c r="D232" s="13"/>
      <c r="E232" s="13"/>
      <c r="F232" s="14"/>
      <c r="G232" s="15"/>
      <c r="H232" s="15"/>
      <c r="I232" s="24"/>
      <c r="J232" s="17"/>
      <c r="K232" s="18"/>
      <c r="L232" s="19"/>
      <c r="M232" s="20"/>
      <c r="N232" s="21"/>
      <c r="O232" s="30"/>
      <c r="P232" s="30"/>
      <c r="Q232" s="23"/>
      <c r="R232" s="24"/>
      <c r="U232" t="s">
        <v>170</v>
      </c>
      <c r="V232" t="s">
        <v>171</v>
      </c>
      <c r="W232" t="s">
        <v>172</v>
      </c>
      <c r="Y232" t="s">
        <v>156</v>
      </c>
      <c r="AA232" t="s">
        <v>156</v>
      </c>
      <c r="AB232" t="s">
        <v>173</v>
      </c>
      <c r="AC232" t="s">
        <v>174</v>
      </c>
      <c r="AD232" t="s">
        <v>175</v>
      </c>
    </row>
    <row r="233" spans="1:30" ht="22.15" customHeight="1">
      <c r="A233" s="12">
        <v>159</v>
      </c>
      <c r="B233" s="12"/>
      <c r="C233" s="13"/>
      <c r="D233" s="13"/>
      <c r="E233" s="13"/>
      <c r="F233" s="14"/>
      <c r="G233" s="15"/>
      <c r="H233" s="15"/>
      <c r="I233" s="24"/>
      <c r="J233" s="17"/>
      <c r="K233" s="18"/>
      <c r="L233" s="19"/>
      <c r="M233" s="20"/>
      <c r="N233" s="21"/>
      <c r="O233" s="30"/>
      <c r="P233" s="30"/>
      <c r="Q233" s="23"/>
      <c r="R233" s="24"/>
      <c r="U233" t="s">
        <v>176</v>
      </c>
      <c r="V233" t="s">
        <v>177</v>
      </c>
      <c r="X233" t="s">
        <v>178</v>
      </c>
      <c r="Y233" t="s">
        <v>160</v>
      </c>
      <c r="AA233" t="s">
        <v>160</v>
      </c>
      <c r="AB233" t="s">
        <v>179</v>
      </c>
      <c r="AC233" t="s">
        <v>180</v>
      </c>
      <c r="AD233" t="s">
        <v>181</v>
      </c>
    </row>
    <row r="234" spans="1:30" ht="22.15" customHeight="1">
      <c r="A234" s="12">
        <v>160</v>
      </c>
      <c r="B234" s="12"/>
      <c r="C234" s="13"/>
      <c r="D234" s="13"/>
      <c r="E234" s="13"/>
      <c r="F234" s="14"/>
      <c r="G234" s="15"/>
      <c r="H234" s="15"/>
      <c r="I234" s="24"/>
      <c r="J234" s="17"/>
      <c r="K234" s="18"/>
      <c r="L234" s="19"/>
      <c r="M234" s="20"/>
      <c r="N234" s="21"/>
      <c r="O234" s="30"/>
      <c r="P234" s="30"/>
      <c r="Q234" s="23"/>
      <c r="R234" s="24"/>
      <c r="V234" t="s">
        <v>184</v>
      </c>
      <c r="W234" t="s">
        <v>185</v>
      </c>
      <c r="X234" t="s">
        <v>186</v>
      </c>
    </row>
    <row r="235" spans="1:30" ht="18" customHeight="1">
      <c r="A235" s="47" t="s">
        <v>302</v>
      </c>
      <c r="B235" s="48"/>
      <c r="C235" s="48"/>
      <c r="D235" s="48"/>
      <c r="E235" s="49"/>
      <c r="F235" s="50" t="s">
        <v>183</v>
      </c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2"/>
      <c r="U235" t="s">
        <v>320</v>
      </c>
      <c r="W235" t="s">
        <v>321</v>
      </c>
      <c r="X235" t="s">
        <v>322</v>
      </c>
      <c r="Y235" t="s">
        <v>323</v>
      </c>
      <c r="AA235" s="16" t="s">
        <v>167</v>
      </c>
      <c r="AB235" s="16" t="s">
        <v>168</v>
      </c>
      <c r="AC235" s="16" t="s">
        <v>131</v>
      </c>
      <c r="AD235" s="16" t="s">
        <v>253</v>
      </c>
    </row>
    <row r="236" spans="1:30" ht="18" customHeight="1">
      <c r="A236" s="12">
        <v>1</v>
      </c>
      <c r="B236" s="47" t="s">
        <v>187</v>
      </c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9"/>
      <c r="AA236" s="27" t="s">
        <v>188</v>
      </c>
      <c r="AB236" s="27" t="s">
        <v>189</v>
      </c>
      <c r="AC236" s="27" t="s">
        <v>190</v>
      </c>
    </row>
    <row r="237" spans="1:30" ht="18" customHeight="1">
      <c r="A237" s="23">
        <v>2</v>
      </c>
      <c r="B237" s="53" t="s">
        <v>191</v>
      </c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5"/>
      <c r="U237" t="s">
        <v>192</v>
      </c>
      <c r="V237" s="16" t="s">
        <v>193</v>
      </c>
      <c r="W237" t="s">
        <v>194</v>
      </c>
      <c r="Y237" t="s">
        <v>195</v>
      </c>
      <c r="AA237" s="16" t="s">
        <v>173</v>
      </c>
      <c r="AB237" s="16" t="s">
        <v>174</v>
      </c>
      <c r="AC237" s="16" t="s">
        <v>139</v>
      </c>
      <c r="AD237" s="16" t="s">
        <v>196</v>
      </c>
    </row>
    <row r="238" spans="1:30" ht="18" customHeight="1">
      <c r="A238" s="23">
        <v>3</v>
      </c>
      <c r="B238" s="47" t="s">
        <v>197</v>
      </c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9"/>
      <c r="V238" s="16" t="s">
        <v>198</v>
      </c>
      <c r="X238" s="16" t="s">
        <v>199</v>
      </c>
      <c r="Y238" t="s">
        <v>200</v>
      </c>
      <c r="AA238" s="16" t="s">
        <v>179</v>
      </c>
      <c r="AB238" s="16" t="s">
        <v>180</v>
      </c>
      <c r="AC238" s="16" t="s">
        <v>147</v>
      </c>
      <c r="AD238" s="16" t="s">
        <v>201</v>
      </c>
    </row>
    <row r="239" spans="1:30" ht="18" customHeight="1">
      <c r="A239" s="37" t="s">
        <v>202</v>
      </c>
      <c r="B239" s="38"/>
      <c r="C239" s="39">
        <f>C29</f>
        <v>0</v>
      </c>
      <c r="D239" s="39"/>
      <c r="E239" s="37" t="s">
        <v>203</v>
      </c>
      <c r="F239" s="40"/>
      <c r="G239" s="41">
        <f>G29</f>
        <v>0</v>
      </c>
      <c r="H239" s="42"/>
      <c r="I239" s="42"/>
      <c r="J239" s="42"/>
      <c r="K239" s="28" t="s">
        <v>204</v>
      </c>
      <c r="L239" s="43" t="s">
        <v>205</v>
      </c>
      <c r="M239" s="43"/>
      <c r="N239" s="43"/>
      <c r="O239" s="43"/>
      <c r="P239" s="43"/>
      <c r="Q239" s="43"/>
      <c r="R239" s="43"/>
      <c r="U239" t="s">
        <v>206</v>
      </c>
      <c r="W239" s="16" t="s">
        <v>207</v>
      </c>
      <c r="X239" s="16" t="s">
        <v>208</v>
      </c>
    </row>
    <row r="240" spans="1:30" ht="18" customHeight="1">
      <c r="A240" s="37" t="s">
        <v>209</v>
      </c>
      <c r="B240" s="38"/>
      <c r="C240" s="39">
        <f>C30</f>
        <v>0</v>
      </c>
      <c r="D240" s="39"/>
      <c r="E240" s="37" t="s">
        <v>210</v>
      </c>
      <c r="F240" s="40"/>
      <c r="G240" s="41">
        <f>G30</f>
        <v>0</v>
      </c>
      <c r="H240" s="42"/>
      <c r="I240" s="42"/>
      <c r="J240" s="42"/>
      <c r="K240" s="28" t="s">
        <v>204</v>
      </c>
      <c r="L240" s="43" t="s">
        <v>205</v>
      </c>
      <c r="M240" s="43"/>
      <c r="N240" s="43"/>
      <c r="O240" s="43"/>
      <c r="P240" s="43"/>
      <c r="Q240" s="43"/>
      <c r="R240" s="43"/>
      <c r="V240" s="16" t="s">
        <v>211</v>
      </c>
      <c r="W240" s="16" t="s">
        <v>212</v>
      </c>
      <c r="Y240" t="s">
        <v>213</v>
      </c>
      <c r="AA240" s="16" t="s">
        <v>214</v>
      </c>
      <c r="AB240" s="16" t="s">
        <v>214</v>
      </c>
      <c r="AC240" s="16" t="s">
        <v>215</v>
      </c>
      <c r="AD240" s="16" t="s">
        <v>216</v>
      </c>
    </row>
    <row r="241" spans="1:32" ht="48" customHeight="1">
      <c r="A241" s="69" t="s">
        <v>0</v>
      </c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1" t="s">
        <v>1</v>
      </c>
      <c r="M241" s="71"/>
      <c r="N241" s="71"/>
      <c r="O241" s="71"/>
      <c r="P241" s="71"/>
      <c r="Q241" s="1" t="s">
        <v>2</v>
      </c>
      <c r="R241" s="2" t="s">
        <v>3</v>
      </c>
      <c r="S241" s="3"/>
      <c r="T241" s="3" t="s">
        <v>4</v>
      </c>
      <c r="U241" s="4" t="s">
        <v>5</v>
      </c>
      <c r="V241" s="4" t="s">
        <v>6</v>
      </c>
      <c r="W241" s="4" t="s">
        <v>7</v>
      </c>
      <c r="X241" s="4" t="s">
        <v>8</v>
      </c>
      <c r="Y241" s="4" t="s">
        <v>9</v>
      </c>
      <c r="Z241" s="4"/>
      <c r="AA241" s="4" t="s">
        <v>10</v>
      </c>
      <c r="AB241" s="4" t="s">
        <v>11</v>
      </c>
      <c r="AC241" s="4" t="s">
        <v>12</v>
      </c>
      <c r="AD241" s="4" t="s">
        <v>13</v>
      </c>
      <c r="AE241" s="4" t="s">
        <v>14</v>
      </c>
      <c r="AF241" s="4" t="s">
        <v>15</v>
      </c>
    </row>
    <row r="242" spans="1:32" s="8" customFormat="1" ht="18" customHeight="1">
      <c r="A242" s="5" t="s">
        <v>16</v>
      </c>
      <c r="B242" s="44">
        <f>B2</f>
        <v>0</v>
      </c>
      <c r="C242" s="45"/>
      <c r="D242" s="45"/>
      <c r="E242" s="6" t="str">
        <f>E2</f>
        <v>Version:1</v>
      </c>
      <c r="F242" s="72" t="s">
        <v>18</v>
      </c>
      <c r="G242" s="74" t="s">
        <v>19</v>
      </c>
      <c r="H242" s="74" t="s">
        <v>20</v>
      </c>
      <c r="I242" s="77" t="s">
        <v>21</v>
      </c>
      <c r="J242" s="62" t="s">
        <v>22</v>
      </c>
      <c r="K242" s="79" t="s">
        <v>23</v>
      </c>
      <c r="L242" s="62" t="s">
        <v>24</v>
      </c>
      <c r="M242" s="56" t="s">
        <v>25</v>
      </c>
      <c r="N242" s="59" t="s">
        <v>26</v>
      </c>
      <c r="O242" s="62" t="s">
        <v>27</v>
      </c>
      <c r="P242" s="65" t="s">
        <v>28</v>
      </c>
      <c r="Q242" s="66" t="s">
        <v>29</v>
      </c>
      <c r="R242" s="68" t="s">
        <v>30</v>
      </c>
      <c r="S242"/>
      <c r="T242" s="7" t="str">
        <f>IF(C275&gt;18,IF(C275=20,Nennweite20,IF(C275=60,U244,IF(C275=50,Nennweite50,IF(C275=25,Nennweite25,IF(C275=32,Nennweite32,IF(C275=40,Nennweite40,"&gt;")))))),IF(C275=8,Nennweite8,IF(C275=6,Nennweite6,IF(C275=10,Nennweite10,IF(C275=18,Nennweite18,IF(C275=16,Nennweite16,IF(C275=12,Nennweite12,"")))))))</f>
        <v/>
      </c>
      <c r="U242" t="s">
        <v>31</v>
      </c>
      <c r="V242" t="s">
        <v>32</v>
      </c>
      <c r="W242" t="s">
        <v>33</v>
      </c>
      <c r="X242" t="s">
        <v>34</v>
      </c>
      <c r="Y242" t="s">
        <v>35</v>
      </c>
      <c r="Z242"/>
      <c r="AA242" t="s">
        <v>36</v>
      </c>
      <c r="AB242" t="s">
        <v>37</v>
      </c>
      <c r="AC242" t="s">
        <v>38</v>
      </c>
      <c r="AD242" t="s">
        <v>39</v>
      </c>
      <c r="AE242" t="s">
        <v>40</v>
      </c>
      <c r="AF242" t="s">
        <v>41</v>
      </c>
    </row>
    <row r="243" spans="1:32" ht="18" customHeight="1">
      <c r="A243" s="5" t="s">
        <v>42</v>
      </c>
      <c r="B243" s="44">
        <f>B3</f>
        <v>0</v>
      </c>
      <c r="C243" s="45"/>
      <c r="D243" s="45"/>
      <c r="E243" s="46"/>
      <c r="F243" s="72"/>
      <c r="G243" s="75"/>
      <c r="H243" s="75"/>
      <c r="I243" s="77"/>
      <c r="J243" s="63"/>
      <c r="K243" s="80"/>
      <c r="L243" s="63"/>
      <c r="M243" s="57"/>
      <c r="N243" s="60"/>
      <c r="O243" s="63"/>
      <c r="P243" s="63"/>
      <c r="Q243" s="66"/>
      <c r="R243" s="66"/>
      <c r="U243" t="s">
        <v>43</v>
      </c>
      <c r="V243" t="s">
        <v>44</v>
      </c>
      <c r="W243" t="s">
        <v>45</v>
      </c>
      <c r="X243" t="s">
        <v>46</v>
      </c>
      <c r="Y243" t="s">
        <v>47</v>
      </c>
      <c r="AA243" t="s">
        <v>48</v>
      </c>
      <c r="AB243" t="s">
        <v>49</v>
      </c>
      <c r="AC243" t="s">
        <v>50</v>
      </c>
      <c r="AD243" t="s">
        <v>51</v>
      </c>
      <c r="AE243" t="s">
        <v>52</v>
      </c>
      <c r="AF243" t="s">
        <v>53</v>
      </c>
    </row>
    <row r="244" spans="1:32" ht="18" customHeight="1" thickBot="1">
      <c r="A244" s="9" t="s">
        <v>54</v>
      </c>
      <c r="B244" s="10" t="s">
        <v>55</v>
      </c>
      <c r="C244" s="10" t="s">
        <v>56</v>
      </c>
      <c r="D244" s="11" t="s">
        <v>57</v>
      </c>
      <c r="E244" s="9" t="s">
        <v>58</v>
      </c>
      <c r="F244" s="73"/>
      <c r="G244" s="76"/>
      <c r="H244" s="76"/>
      <c r="I244" s="78"/>
      <c r="J244" s="64"/>
      <c r="K244" s="81"/>
      <c r="L244" s="64"/>
      <c r="M244" s="58"/>
      <c r="N244" s="61"/>
      <c r="O244" s="64"/>
      <c r="P244" s="64"/>
      <c r="Q244" s="67"/>
      <c r="R244" s="67"/>
      <c r="U244" t="s">
        <v>59</v>
      </c>
      <c r="V244" t="s">
        <v>60</v>
      </c>
      <c r="W244" t="s">
        <v>61</v>
      </c>
      <c r="X244" t="s">
        <v>62</v>
      </c>
      <c r="Y244" t="s">
        <v>63</v>
      </c>
      <c r="AA244" t="s">
        <v>64</v>
      </c>
      <c r="AB244" t="s">
        <v>65</v>
      </c>
      <c r="AC244" t="s">
        <v>66</v>
      </c>
      <c r="AD244" t="s">
        <v>67</v>
      </c>
      <c r="AE244" t="s">
        <v>68</v>
      </c>
      <c r="AF244" t="s">
        <v>69</v>
      </c>
    </row>
    <row r="245" spans="1:32" ht="22.15" customHeight="1">
      <c r="A245" s="12">
        <v>161</v>
      </c>
      <c r="B245" s="13"/>
      <c r="C245" s="13"/>
      <c r="D245" s="13"/>
      <c r="E245" s="13"/>
      <c r="F245" s="14"/>
      <c r="G245" s="15"/>
      <c r="H245" s="15"/>
      <c r="I245" s="24"/>
      <c r="J245" s="17"/>
      <c r="K245" s="18"/>
      <c r="L245" s="19"/>
      <c r="M245" s="20"/>
      <c r="N245" s="21"/>
      <c r="O245" s="30"/>
      <c r="P245" s="30"/>
      <c r="Q245" s="23"/>
      <c r="R245" s="24"/>
      <c r="U245" t="s">
        <v>70</v>
      </c>
      <c r="V245" t="s">
        <v>71</v>
      </c>
      <c r="W245" t="s">
        <v>72</v>
      </c>
      <c r="X245" t="s">
        <v>73</v>
      </c>
      <c r="Y245" t="s">
        <v>74</v>
      </c>
      <c r="AA245" t="s">
        <v>75</v>
      </c>
      <c r="AB245" t="s">
        <v>76</v>
      </c>
      <c r="AC245" t="s">
        <v>77</v>
      </c>
      <c r="AD245" t="s">
        <v>78</v>
      </c>
      <c r="AE245" t="s">
        <v>79</v>
      </c>
    </row>
    <row r="246" spans="1:32" ht="22.15" customHeight="1">
      <c r="A246" s="12">
        <v>162</v>
      </c>
      <c r="B246" s="13"/>
      <c r="C246" s="13"/>
      <c r="D246" s="13"/>
      <c r="E246" s="13"/>
      <c r="F246" s="14"/>
      <c r="G246" s="15"/>
      <c r="H246" s="15"/>
      <c r="I246" s="24"/>
      <c r="J246" s="17"/>
      <c r="K246" s="18"/>
      <c r="L246" s="19"/>
      <c r="M246" s="20"/>
      <c r="N246" s="21"/>
      <c r="O246" s="30"/>
      <c r="P246" s="30"/>
      <c r="Q246" s="23"/>
      <c r="R246" s="24"/>
      <c r="U246" t="s">
        <v>80</v>
      </c>
      <c r="X246" t="s">
        <v>81</v>
      </c>
      <c r="Y246" t="s">
        <v>82</v>
      </c>
      <c r="AA246" t="s">
        <v>83</v>
      </c>
      <c r="AB246" t="s">
        <v>84</v>
      </c>
      <c r="AC246" t="s">
        <v>85</v>
      </c>
      <c r="AD246" t="s">
        <v>86</v>
      </c>
      <c r="AE246" t="s">
        <v>87</v>
      </c>
    </row>
    <row r="247" spans="1:32" ht="22.15" customHeight="1">
      <c r="A247" s="12">
        <v>163</v>
      </c>
      <c r="B247" s="13"/>
      <c r="C247" s="13"/>
      <c r="D247" s="13"/>
      <c r="E247" s="13"/>
      <c r="F247" s="14"/>
      <c r="G247" s="15"/>
      <c r="H247" s="15"/>
      <c r="I247" s="24"/>
      <c r="J247" s="17"/>
      <c r="K247" s="18"/>
      <c r="L247" s="19"/>
      <c r="M247" s="20"/>
      <c r="N247" s="21"/>
      <c r="O247" s="30"/>
      <c r="P247" s="30"/>
      <c r="Q247" s="23"/>
      <c r="R247" s="24"/>
      <c r="U247" t="s">
        <v>88</v>
      </c>
      <c r="V247" t="s">
        <v>89</v>
      </c>
      <c r="W247" t="s">
        <v>90</v>
      </c>
      <c r="X247" t="s">
        <v>91</v>
      </c>
      <c r="Y247" t="s">
        <v>92</v>
      </c>
      <c r="AA247" t="s">
        <v>93</v>
      </c>
      <c r="AB247" t="s">
        <v>94</v>
      </c>
      <c r="AC247" t="s">
        <v>95</v>
      </c>
      <c r="AD247" t="s">
        <v>96</v>
      </c>
      <c r="AE247" t="s">
        <v>97</v>
      </c>
    </row>
    <row r="248" spans="1:32" ht="22.15" customHeight="1">
      <c r="A248" s="12">
        <v>164</v>
      </c>
      <c r="B248" s="12"/>
      <c r="C248" s="13"/>
      <c r="D248" s="13"/>
      <c r="E248" s="13"/>
      <c r="F248" s="14"/>
      <c r="G248" s="15"/>
      <c r="H248" s="15"/>
      <c r="I248" s="24"/>
      <c r="J248" s="17"/>
      <c r="K248" s="18"/>
      <c r="L248" s="19"/>
      <c r="M248" s="20"/>
      <c r="N248" s="21"/>
      <c r="O248" s="30"/>
      <c r="P248" s="30"/>
      <c r="Q248" s="23"/>
      <c r="R248" s="24"/>
      <c r="V248" t="s">
        <v>98</v>
      </c>
      <c r="W248" t="s">
        <v>99</v>
      </c>
    </row>
    <row r="249" spans="1:32" ht="22.15" customHeight="1">
      <c r="A249" s="12">
        <v>165</v>
      </c>
      <c r="B249" s="12"/>
      <c r="C249" s="13"/>
      <c r="D249" s="13"/>
      <c r="E249" s="13"/>
      <c r="F249" s="14"/>
      <c r="G249" s="15"/>
      <c r="H249" s="15"/>
      <c r="I249" s="24"/>
      <c r="J249" s="17"/>
      <c r="K249" s="18"/>
      <c r="L249" s="19"/>
      <c r="M249" s="20"/>
      <c r="N249" s="21"/>
      <c r="O249" s="30"/>
      <c r="P249" s="30"/>
      <c r="Q249" s="23"/>
      <c r="R249" s="24"/>
      <c r="U249" t="s">
        <v>100</v>
      </c>
      <c r="V249" t="s">
        <v>101</v>
      </c>
      <c r="W249" t="s">
        <v>102</v>
      </c>
      <c r="X249" t="s">
        <v>103</v>
      </c>
      <c r="Y249" t="s">
        <v>103</v>
      </c>
      <c r="AA249" t="s">
        <v>104</v>
      </c>
      <c r="AB249" t="s">
        <v>105</v>
      </c>
      <c r="AC249" t="s">
        <v>106</v>
      </c>
      <c r="AD249" t="s">
        <v>40</v>
      </c>
      <c r="AE249" t="s">
        <v>107</v>
      </c>
    </row>
    <row r="250" spans="1:32" ht="22.15" customHeight="1">
      <c r="A250" s="12">
        <v>166</v>
      </c>
      <c r="B250" s="12"/>
      <c r="C250" s="13"/>
      <c r="D250" s="13"/>
      <c r="E250" s="13"/>
      <c r="F250" s="14"/>
      <c r="G250" s="15"/>
      <c r="H250" s="15"/>
      <c r="I250" s="24"/>
      <c r="J250" s="17"/>
      <c r="K250" s="18"/>
      <c r="L250" s="19"/>
      <c r="M250" s="20"/>
      <c r="N250" s="21"/>
      <c r="O250" s="30"/>
      <c r="P250" s="30"/>
      <c r="Q250" s="23"/>
      <c r="R250" s="24"/>
      <c r="X250" t="s">
        <v>108</v>
      </c>
      <c r="Y250" t="s">
        <v>108</v>
      </c>
      <c r="AA250" t="s">
        <v>109</v>
      </c>
      <c r="AB250" t="s">
        <v>110</v>
      </c>
      <c r="AC250" t="s">
        <v>111</v>
      </c>
      <c r="AD250" t="s">
        <v>52</v>
      </c>
    </row>
    <row r="251" spans="1:32" ht="22.15" customHeight="1">
      <c r="A251" s="12">
        <v>167</v>
      </c>
      <c r="B251" s="12"/>
      <c r="C251" s="13"/>
      <c r="D251" s="13"/>
      <c r="E251" s="13"/>
      <c r="F251" s="14"/>
      <c r="G251" s="15"/>
      <c r="H251" s="15"/>
      <c r="I251" s="24"/>
      <c r="J251" s="17"/>
      <c r="K251" s="18"/>
      <c r="L251" s="19"/>
      <c r="M251" s="20"/>
      <c r="N251" s="21"/>
      <c r="O251" s="30"/>
      <c r="P251" s="30"/>
      <c r="Q251" s="23"/>
      <c r="R251" s="24"/>
      <c r="U251" t="s">
        <v>112</v>
      </c>
      <c r="V251" t="s">
        <v>113</v>
      </c>
      <c r="W251" t="s">
        <v>114</v>
      </c>
      <c r="X251" t="s">
        <v>115</v>
      </c>
      <c r="Y251" t="s">
        <v>116</v>
      </c>
      <c r="AA251" t="s">
        <v>117</v>
      </c>
      <c r="AB251" t="s">
        <v>118</v>
      </c>
      <c r="AC251" t="s">
        <v>119</v>
      </c>
      <c r="AD251" t="s">
        <v>68</v>
      </c>
      <c r="AE251" t="s">
        <v>120</v>
      </c>
    </row>
    <row r="252" spans="1:32" ht="22.15" customHeight="1">
      <c r="A252" s="12">
        <v>168</v>
      </c>
      <c r="B252" s="12"/>
      <c r="C252" s="13"/>
      <c r="D252" s="13"/>
      <c r="E252" s="13"/>
      <c r="F252" s="14"/>
      <c r="G252" s="15"/>
      <c r="H252" s="15"/>
      <c r="I252" s="24"/>
      <c r="J252" s="17"/>
      <c r="K252" s="18"/>
      <c r="L252" s="19"/>
      <c r="M252" s="20"/>
      <c r="N252" s="21"/>
      <c r="O252" s="30"/>
      <c r="P252" s="30"/>
      <c r="Q252" s="23"/>
      <c r="R252" s="24"/>
      <c r="V252" t="s">
        <v>121</v>
      </c>
      <c r="W252" t="s">
        <v>122</v>
      </c>
      <c r="AE252" t="s">
        <v>123</v>
      </c>
    </row>
    <row r="253" spans="1:32" ht="22.15" customHeight="1">
      <c r="A253" s="12">
        <v>169</v>
      </c>
      <c r="B253" s="12"/>
      <c r="C253" s="13"/>
      <c r="D253" s="13"/>
      <c r="E253" s="13"/>
      <c r="F253" s="14"/>
      <c r="G253" s="15"/>
      <c r="H253" s="15"/>
      <c r="I253" s="24"/>
      <c r="J253" s="17"/>
      <c r="K253" s="18"/>
      <c r="L253" s="19"/>
      <c r="M253" s="20"/>
      <c r="N253" s="21"/>
      <c r="O253" s="30"/>
      <c r="P253" s="30"/>
      <c r="Q253" s="23"/>
      <c r="R253" s="24"/>
      <c r="U253" t="s">
        <v>124</v>
      </c>
      <c r="V253" t="s">
        <v>125</v>
      </c>
      <c r="W253" t="s">
        <v>126</v>
      </c>
      <c r="X253" t="s">
        <v>127</v>
      </c>
      <c r="Y253" t="s">
        <v>128</v>
      </c>
      <c r="AA253" t="s">
        <v>128</v>
      </c>
      <c r="AB253" t="s">
        <v>129</v>
      </c>
      <c r="AC253" t="s">
        <v>130</v>
      </c>
      <c r="AD253" t="s">
        <v>131</v>
      </c>
      <c r="AE253" t="s">
        <v>132</v>
      </c>
    </row>
    <row r="254" spans="1:32" ht="22.15" customHeight="1">
      <c r="A254" s="12">
        <v>170</v>
      </c>
      <c r="B254" s="12"/>
      <c r="C254" s="13"/>
      <c r="D254" s="13"/>
      <c r="E254" s="13"/>
      <c r="F254" s="14"/>
      <c r="G254" s="15"/>
      <c r="H254" s="15"/>
      <c r="I254" s="24"/>
      <c r="J254" s="17"/>
      <c r="K254" s="18"/>
      <c r="L254" s="19"/>
      <c r="M254" s="20"/>
      <c r="N254" s="21"/>
      <c r="O254" s="30"/>
      <c r="P254" s="30"/>
      <c r="Q254" s="23"/>
      <c r="R254" s="24"/>
      <c r="U254" t="s">
        <v>134</v>
      </c>
      <c r="X254" t="s">
        <v>135</v>
      </c>
      <c r="Y254" t="s">
        <v>136</v>
      </c>
      <c r="AA254" t="s">
        <v>136</v>
      </c>
      <c r="AB254" t="s">
        <v>137</v>
      </c>
      <c r="AC254" t="s">
        <v>138</v>
      </c>
      <c r="AD254" t="s">
        <v>139</v>
      </c>
    </row>
    <row r="255" spans="1:32" ht="22.15" customHeight="1">
      <c r="A255" s="12">
        <v>171</v>
      </c>
      <c r="B255" s="12"/>
      <c r="C255" s="13"/>
      <c r="D255" s="13"/>
      <c r="E255" s="13"/>
      <c r="F255" s="14"/>
      <c r="G255" s="15"/>
      <c r="H255" s="15"/>
      <c r="I255" s="24"/>
      <c r="J255" s="17"/>
      <c r="K255" s="18"/>
      <c r="L255" s="19"/>
      <c r="M255" s="20"/>
      <c r="N255" s="21"/>
      <c r="O255" s="30"/>
      <c r="P255" s="30"/>
      <c r="Q255" s="23"/>
      <c r="R255" s="24"/>
      <c r="U255" t="s">
        <v>140</v>
      </c>
      <c r="V255" t="s">
        <v>141</v>
      </c>
      <c r="W255" t="s">
        <v>142</v>
      </c>
      <c r="X255" t="s">
        <v>143</v>
      </c>
      <c r="Y255" t="s">
        <v>144</v>
      </c>
      <c r="AA255" t="s">
        <v>144</v>
      </c>
      <c r="AB255" t="s">
        <v>145</v>
      </c>
      <c r="AC255" t="s">
        <v>146</v>
      </c>
      <c r="AD255" t="s">
        <v>147</v>
      </c>
    </row>
    <row r="256" spans="1:32" ht="22.15" customHeight="1">
      <c r="A256" s="12">
        <v>172</v>
      </c>
      <c r="B256" s="12"/>
      <c r="C256" s="13"/>
      <c r="D256" s="13"/>
      <c r="E256" s="13"/>
      <c r="F256" s="14"/>
      <c r="G256" s="15"/>
      <c r="H256" s="15"/>
      <c r="I256" s="24"/>
      <c r="J256" s="17"/>
      <c r="K256" s="18"/>
      <c r="L256" s="19"/>
      <c r="M256" s="20"/>
      <c r="N256" s="21"/>
      <c r="O256" s="30"/>
      <c r="P256" s="30"/>
      <c r="Q256" s="23"/>
      <c r="R256" s="24"/>
      <c r="V256" t="s">
        <v>148</v>
      </c>
    </row>
    <row r="257" spans="1:32" ht="22.15" customHeight="1">
      <c r="A257" s="12">
        <v>173</v>
      </c>
      <c r="B257" s="12"/>
      <c r="C257" s="13"/>
      <c r="D257" s="13"/>
      <c r="E257" s="13"/>
      <c r="F257" s="14"/>
      <c r="G257" s="15"/>
      <c r="H257" s="15"/>
      <c r="I257" s="24"/>
      <c r="J257" s="17"/>
      <c r="K257" s="18"/>
      <c r="L257" s="19"/>
      <c r="M257" s="20"/>
      <c r="N257" s="21"/>
      <c r="O257" s="30"/>
      <c r="P257" s="30"/>
      <c r="Q257" s="23"/>
      <c r="R257" s="24"/>
      <c r="U257" t="s">
        <v>149</v>
      </c>
      <c r="W257" t="s">
        <v>150</v>
      </c>
      <c r="X257" t="s">
        <v>151</v>
      </c>
      <c r="Y257" t="s">
        <v>127</v>
      </c>
      <c r="AA257" t="s">
        <v>129</v>
      </c>
      <c r="AB257" t="s">
        <v>130</v>
      </c>
      <c r="AC257" t="s">
        <v>78</v>
      </c>
      <c r="AD257" t="s">
        <v>152</v>
      </c>
    </row>
    <row r="258" spans="1:32" ht="22.15" customHeight="1">
      <c r="A258" s="12">
        <v>174</v>
      </c>
      <c r="B258" s="12"/>
      <c r="C258" s="13"/>
      <c r="D258" s="13"/>
      <c r="E258" s="13"/>
      <c r="F258" s="14"/>
      <c r="G258" s="15"/>
      <c r="H258" s="15"/>
      <c r="I258" s="24"/>
      <c r="J258" s="17"/>
      <c r="K258" s="18"/>
      <c r="L258" s="19"/>
      <c r="M258" s="20"/>
      <c r="N258" s="21"/>
      <c r="O258" s="30"/>
      <c r="P258" s="30"/>
      <c r="Q258" s="23"/>
      <c r="R258" s="24"/>
      <c r="U258" t="s">
        <v>153</v>
      </c>
      <c r="V258" t="s">
        <v>154</v>
      </c>
      <c r="W258" t="s">
        <v>155</v>
      </c>
      <c r="X258" t="s">
        <v>156</v>
      </c>
      <c r="Y258" t="s">
        <v>135</v>
      </c>
      <c r="AA258" t="s">
        <v>137</v>
      </c>
      <c r="AB258" t="s">
        <v>138</v>
      </c>
      <c r="AC258" t="s">
        <v>86</v>
      </c>
      <c r="AD258" t="s">
        <v>157</v>
      </c>
    </row>
    <row r="259" spans="1:32" ht="22.15" customHeight="1">
      <c r="A259" s="12">
        <v>175</v>
      </c>
      <c r="B259" s="12"/>
      <c r="C259" s="13"/>
      <c r="D259" s="13"/>
      <c r="E259" s="13"/>
      <c r="F259" s="14"/>
      <c r="G259" s="15"/>
      <c r="H259" s="15"/>
      <c r="I259" s="24"/>
      <c r="J259" s="17"/>
      <c r="K259" s="18"/>
      <c r="L259" s="19"/>
      <c r="M259" s="20"/>
      <c r="N259" s="21"/>
      <c r="O259" s="30"/>
      <c r="P259" s="30"/>
      <c r="Q259" s="23"/>
      <c r="R259" s="24"/>
      <c r="U259" t="s">
        <v>158</v>
      </c>
      <c r="V259" t="s">
        <v>159</v>
      </c>
      <c r="X259" t="s">
        <v>160</v>
      </c>
      <c r="Y259" t="s">
        <v>143</v>
      </c>
      <c r="AA259" t="s">
        <v>145</v>
      </c>
      <c r="AB259" t="s">
        <v>146</v>
      </c>
      <c r="AC259" t="s">
        <v>96</v>
      </c>
      <c r="AD259" t="s">
        <v>161</v>
      </c>
    </row>
    <row r="260" spans="1:32" ht="22.15" customHeight="1">
      <c r="A260" s="12">
        <v>176</v>
      </c>
      <c r="B260" s="12"/>
      <c r="C260" s="13"/>
      <c r="D260" s="13"/>
      <c r="E260" s="13"/>
      <c r="F260" s="14"/>
      <c r="G260" s="15"/>
      <c r="H260" s="15"/>
      <c r="I260" s="24"/>
      <c r="J260" s="17"/>
      <c r="K260" s="18"/>
      <c r="L260" s="19"/>
      <c r="M260" s="20"/>
      <c r="N260" s="21"/>
      <c r="O260" s="30"/>
      <c r="P260" s="30"/>
      <c r="Q260" s="23"/>
      <c r="R260" s="24"/>
      <c r="V260" t="s">
        <v>162</v>
      </c>
      <c r="W260" t="s">
        <v>163</v>
      </c>
    </row>
    <row r="261" spans="1:32" ht="22.15" customHeight="1">
      <c r="A261" s="12">
        <v>177</v>
      </c>
      <c r="B261" s="12"/>
      <c r="C261" s="13"/>
      <c r="D261" s="13"/>
      <c r="E261" s="13"/>
      <c r="F261" s="14"/>
      <c r="G261" s="15"/>
      <c r="H261" s="15"/>
      <c r="I261" s="24"/>
      <c r="J261" s="17"/>
      <c r="K261" s="18"/>
      <c r="L261" s="19"/>
      <c r="M261" s="20"/>
      <c r="N261" s="21"/>
      <c r="O261" s="30"/>
      <c r="P261" s="30"/>
      <c r="Q261" s="23"/>
      <c r="R261" s="24"/>
      <c r="U261" t="s">
        <v>164</v>
      </c>
      <c r="W261" t="s">
        <v>165</v>
      </c>
      <c r="X261" t="s">
        <v>166</v>
      </c>
      <c r="Y261" t="s">
        <v>151</v>
      </c>
      <c r="AA261" t="s">
        <v>151</v>
      </c>
      <c r="AB261" t="s">
        <v>167</v>
      </c>
      <c r="AC261" t="s">
        <v>168</v>
      </c>
      <c r="AD261" t="s">
        <v>169</v>
      </c>
    </row>
    <row r="262" spans="1:32" ht="22.15" customHeight="1">
      <c r="A262" s="12">
        <v>178</v>
      </c>
      <c r="B262" s="12"/>
      <c r="C262" s="13"/>
      <c r="D262" s="13"/>
      <c r="E262" s="13"/>
      <c r="F262" s="14"/>
      <c r="G262" s="15"/>
      <c r="H262" s="15"/>
      <c r="I262" s="24"/>
      <c r="J262" s="17"/>
      <c r="K262" s="18"/>
      <c r="L262" s="19"/>
      <c r="M262" s="20"/>
      <c r="N262" s="21"/>
      <c r="O262" s="30"/>
      <c r="P262" s="30"/>
      <c r="Q262" s="23"/>
      <c r="R262" s="24"/>
      <c r="U262" t="s">
        <v>170</v>
      </c>
      <c r="V262" t="s">
        <v>171</v>
      </c>
      <c r="W262" t="s">
        <v>172</v>
      </c>
      <c r="Y262" t="s">
        <v>156</v>
      </c>
      <c r="AA262" t="s">
        <v>156</v>
      </c>
      <c r="AB262" t="s">
        <v>173</v>
      </c>
      <c r="AC262" t="s">
        <v>174</v>
      </c>
      <c r="AD262" t="s">
        <v>175</v>
      </c>
    </row>
    <row r="263" spans="1:32" ht="22.15" customHeight="1">
      <c r="A263" s="12">
        <v>179</v>
      </c>
      <c r="B263" s="12"/>
      <c r="C263" s="13"/>
      <c r="D263" s="13"/>
      <c r="E263" s="13"/>
      <c r="F263" s="14"/>
      <c r="G263" s="15"/>
      <c r="H263" s="15"/>
      <c r="I263" s="24"/>
      <c r="J263" s="17"/>
      <c r="K263" s="18"/>
      <c r="L263" s="19"/>
      <c r="M263" s="20"/>
      <c r="N263" s="21"/>
      <c r="O263" s="30"/>
      <c r="P263" s="30"/>
      <c r="Q263" s="23"/>
      <c r="R263" s="24"/>
      <c r="U263" t="s">
        <v>176</v>
      </c>
      <c r="V263" t="s">
        <v>177</v>
      </c>
      <c r="X263" t="s">
        <v>178</v>
      </c>
      <c r="Y263" t="s">
        <v>160</v>
      </c>
      <c r="AA263" t="s">
        <v>160</v>
      </c>
      <c r="AB263" t="s">
        <v>179</v>
      </c>
      <c r="AC263" t="s">
        <v>180</v>
      </c>
      <c r="AD263" t="s">
        <v>181</v>
      </c>
    </row>
    <row r="264" spans="1:32" ht="22.15" customHeight="1">
      <c r="A264" s="12">
        <v>180</v>
      </c>
      <c r="B264" s="12"/>
      <c r="C264" s="13"/>
      <c r="D264" s="13"/>
      <c r="E264" s="13"/>
      <c r="F264" s="14"/>
      <c r="G264" s="15"/>
      <c r="H264" s="15"/>
      <c r="I264" s="24"/>
      <c r="J264" s="17"/>
      <c r="K264" s="18"/>
      <c r="L264" s="19"/>
      <c r="M264" s="20"/>
      <c r="N264" s="21"/>
      <c r="O264" s="30"/>
      <c r="P264" s="30"/>
      <c r="Q264" s="23"/>
      <c r="R264" s="24"/>
      <c r="V264" t="s">
        <v>184</v>
      </c>
      <c r="W264" t="s">
        <v>185</v>
      </c>
      <c r="X264" t="s">
        <v>186</v>
      </c>
    </row>
    <row r="265" spans="1:32" ht="18" customHeight="1">
      <c r="A265" s="47" t="s">
        <v>302</v>
      </c>
      <c r="B265" s="48"/>
      <c r="C265" s="48"/>
      <c r="D265" s="48"/>
      <c r="E265" s="49"/>
      <c r="F265" s="50" t="s">
        <v>183</v>
      </c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2"/>
      <c r="U265" t="s">
        <v>320</v>
      </c>
      <c r="W265" t="s">
        <v>321</v>
      </c>
      <c r="X265" t="s">
        <v>322</v>
      </c>
      <c r="Y265" t="s">
        <v>323</v>
      </c>
      <c r="AA265" s="16" t="s">
        <v>167</v>
      </c>
      <c r="AB265" s="16" t="s">
        <v>168</v>
      </c>
      <c r="AC265" s="16" t="s">
        <v>131</v>
      </c>
      <c r="AD265" s="16" t="s">
        <v>253</v>
      </c>
    </row>
    <row r="266" spans="1:32" ht="18" customHeight="1">
      <c r="A266" s="12">
        <v>1</v>
      </c>
      <c r="B266" s="47" t="s">
        <v>187</v>
      </c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9"/>
      <c r="AA266" s="27" t="s">
        <v>188</v>
      </c>
      <c r="AB266" s="27" t="s">
        <v>189</v>
      </c>
      <c r="AC266" s="27" t="s">
        <v>190</v>
      </c>
    </row>
    <row r="267" spans="1:32" ht="18" customHeight="1">
      <c r="A267" s="23">
        <v>2</v>
      </c>
      <c r="B267" s="53" t="s">
        <v>191</v>
      </c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5"/>
      <c r="U267" t="s">
        <v>192</v>
      </c>
      <c r="V267" s="16" t="s">
        <v>193</v>
      </c>
      <c r="W267" t="s">
        <v>194</v>
      </c>
      <c r="Y267" t="s">
        <v>195</v>
      </c>
      <c r="AA267" s="16" t="s">
        <v>173</v>
      </c>
      <c r="AB267" s="16" t="s">
        <v>174</v>
      </c>
      <c r="AC267" s="16" t="s">
        <v>139</v>
      </c>
      <c r="AD267" s="16" t="s">
        <v>196</v>
      </c>
    </row>
    <row r="268" spans="1:32" ht="18" customHeight="1">
      <c r="A268" s="23">
        <v>3</v>
      </c>
      <c r="B268" s="47" t="s">
        <v>197</v>
      </c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9"/>
      <c r="V268" s="16" t="s">
        <v>198</v>
      </c>
      <c r="X268" s="16" t="s">
        <v>199</v>
      </c>
      <c r="Y268" t="s">
        <v>200</v>
      </c>
      <c r="AA268" s="16" t="s">
        <v>179</v>
      </c>
      <c r="AB268" s="16" t="s">
        <v>180</v>
      </c>
      <c r="AC268" s="16" t="s">
        <v>147</v>
      </c>
      <c r="AD268" s="16" t="s">
        <v>201</v>
      </c>
    </row>
    <row r="269" spans="1:32" ht="18" customHeight="1">
      <c r="A269" s="37" t="s">
        <v>202</v>
      </c>
      <c r="B269" s="38"/>
      <c r="C269" s="39">
        <f>C29</f>
        <v>0</v>
      </c>
      <c r="D269" s="39"/>
      <c r="E269" s="37" t="s">
        <v>203</v>
      </c>
      <c r="F269" s="40"/>
      <c r="G269" s="41">
        <f>G29</f>
        <v>0</v>
      </c>
      <c r="H269" s="42"/>
      <c r="I269" s="42"/>
      <c r="J269" s="42"/>
      <c r="K269" s="28" t="s">
        <v>204</v>
      </c>
      <c r="L269" s="43" t="s">
        <v>205</v>
      </c>
      <c r="M269" s="43"/>
      <c r="N269" s="43"/>
      <c r="O269" s="43"/>
      <c r="P269" s="43"/>
      <c r="Q269" s="43"/>
      <c r="R269" s="43"/>
      <c r="U269" t="s">
        <v>206</v>
      </c>
      <c r="W269" s="16" t="s">
        <v>207</v>
      </c>
      <c r="X269" s="16" t="s">
        <v>208</v>
      </c>
    </row>
    <row r="270" spans="1:32" ht="18" customHeight="1">
      <c r="A270" s="37" t="s">
        <v>209</v>
      </c>
      <c r="B270" s="38"/>
      <c r="C270" s="39">
        <f>C30</f>
        <v>0</v>
      </c>
      <c r="D270" s="39"/>
      <c r="E270" s="37" t="s">
        <v>210</v>
      </c>
      <c r="F270" s="40"/>
      <c r="G270" s="41">
        <f>G30</f>
        <v>0</v>
      </c>
      <c r="H270" s="42"/>
      <c r="I270" s="42"/>
      <c r="J270" s="42"/>
      <c r="K270" s="28" t="s">
        <v>204</v>
      </c>
      <c r="L270" s="43" t="s">
        <v>205</v>
      </c>
      <c r="M270" s="43"/>
      <c r="N270" s="43"/>
      <c r="O270" s="43"/>
      <c r="P270" s="43"/>
      <c r="Q270" s="43"/>
      <c r="R270" s="43"/>
      <c r="V270" s="16" t="s">
        <v>211</v>
      </c>
      <c r="W270" s="16" t="s">
        <v>212</v>
      </c>
      <c r="Y270" t="s">
        <v>213</v>
      </c>
      <c r="AA270" s="16" t="s">
        <v>214</v>
      </c>
      <c r="AB270" s="16" t="s">
        <v>214</v>
      </c>
      <c r="AC270" s="16" t="s">
        <v>215</v>
      </c>
      <c r="AD270" s="16" t="s">
        <v>216</v>
      </c>
    </row>
    <row r="271" spans="1:32" ht="48" customHeight="1">
      <c r="A271" s="69" t="s">
        <v>0</v>
      </c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1" t="s">
        <v>1</v>
      </c>
      <c r="M271" s="71"/>
      <c r="N271" s="71"/>
      <c r="O271" s="71"/>
      <c r="P271" s="71"/>
      <c r="Q271" s="1" t="s">
        <v>2</v>
      </c>
      <c r="R271" s="2" t="s">
        <v>3</v>
      </c>
      <c r="S271" s="3"/>
      <c r="T271" s="3" t="s">
        <v>4</v>
      </c>
      <c r="U271" s="4" t="s">
        <v>5</v>
      </c>
      <c r="V271" s="4" t="s">
        <v>6</v>
      </c>
      <c r="W271" s="4" t="s">
        <v>7</v>
      </c>
      <c r="X271" s="4" t="s">
        <v>8</v>
      </c>
      <c r="Y271" s="4" t="s">
        <v>9</v>
      </c>
      <c r="Z271" s="4"/>
      <c r="AA271" s="4" t="s">
        <v>10</v>
      </c>
      <c r="AB271" s="4" t="s">
        <v>11</v>
      </c>
      <c r="AC271" s="4" t="s">
        <v>12</v>
      </c>
      <c r="AD271" s="4" t="s">
        <v>13</v>
      </c>
      <c r="AE271" s="4" t="s">
        <v>14</v>
      </c>
      <c r="AF271" s="4" t="s">
        <v>15</v>
      </c>
    </row>
    <row r="272" spans="1:32" s="8" customFormat="1" ht="18" customHeight="1">
      <c r="A272" s="5" t="s">
        <v>16</v>
      </c>
      <c r="B272" s="44">
        <f>B2</f>
        <v>0</v>
      </c>
      <c r="C272" s="45"/>
      <c r="D272" s="45"/>
      <c r="E272" s="6" t="str">
        <f>E2</f>
        <v>Version:1</v>
      </c>
      <c r="F272" s="72" t="s">
        <v>18</v>
      </c>
      <c r="G272" s="74" t="s">
        <v>19</v>
      </c>
      <c r="H272" s="74" t="s">
        <v>20</v>
      </c>
      <c r="I272" s="77" t="s">
        <v>21</v>
      </c>
      <c r="J272" s="62" t="s">
        <v>22</v>
      </c>
      <c r="K272" s="79" t="s">
        <v>23</v>
      </c>
      <c r="L272" s="62" t="s">
        <v>24</v>
      </c>
      <c r="M272" s="56" t="s">
        <v>25</v>
      </c>
      <c r="N272" s="59" t="s">
        <v>26</v>
      </c>
      <c r="O272" s="62" t="s">
        <v>27</v>
      </c>
      <c r="P272" s="65" t="s">
        <v>28</v>
      </c>
      <c r="Q272" s="66" t="s">
        <v>29</v>
      </c>
      <c r="R272" s="68" t="s">
        <v>30</v>
      </c>
      <c r="S272"/>
      <c r="T272" s="7" t="str">
        <f>IF(C305&gt;18,IF(C305=20,Nennweite20,IF(C305=60,U274,IF(C305=50,Nennweite50,IF(C305=25,Nennweite25,IF(C305=32,Nennweite32,IF(C305=40,Nennweite40,"&gt;")))))),IF(C305=8,Nennweite8,IF(C305=6,Nennweite6,IF(C305=10,Nennweite10,IF(C305=18,Nennweite18,IF(C305=16,Nennweite16,IF(C305=12,Nennweite12,"")))))))</f>
        <v/>
      </c>
      <c r="U272" t="s">
        <v>31</v>
      </c>
      <c r="V272" t="s">
        <v>32</v>
      </c>
      <c r="W272" t="s">
        <v>33</v>
      </c>
      <c r="X272" t="s">
        <v>34</v>
      </c>
      <c r="Y272" t="s">
        <v>35</v>
      </c>
      <c r="Z272"/>
      <c r="AA272" t="s">
        <v>36</v>
      </c>
      <c r="AB272" t="s">
        <v>37</v>
      </c>
      <c r="AC272" t="s">
        <v>38</v>
      </c>
      <c r="AD272" t="s">
        <v>39</v>
      </c>
      <c r="AE272" t="s">
        <v>40</v>
      </c>
      <c r="AF272" t="s">
        <v>41</v>
      </c>
    </row>
    <row r="273" spans="1:32" ht="18" customHeight="1">
      <c r="A273" s="5" t="s">
        <v>42</v>
      </c>
      <c r="B273" s="44">
        <f>B3</f>
        <v>0</v>
      </c>
      <c r="C273" s="45"/>
      <c r="D273" s="45"/>
      <c r="E273" s="46"/>
      <c r="F273" s="72"/>
      <c r="G273" s="75"/>
      <c r="H273" s="75"/>
      <c r="I273" s="77"/>
      <c r="J273" s="63"/>
      <c r="K273" s="80"/>
      <c r="L273" s="63"/>
      <c r="M273" s="57"/>
      <c r="N273" s="60"/>
      <c r="O273" s="63"/>
      <c r="P273" s="63"/>
      <c r="Q273" s="66"/>
      <c r="R273" s="66"/>
      <c r="U273" t="s">
        <v>43</v>
      </c>
      <c r="V273" t="s">
        <v>44</v>
      </c>
      <c r="W273" t="s">
        <v>45</v>
      </c>
      <c r="X273" t="s">
        <v>46</v>
      </c>
      <c r="Y273" t="s">
        <v>47</v>
      </c>
      <c r="AA273" t="s">
        <v>48</v>
      </c>
      <c r="AB273" t="s">
        <v>49</v>
      </c>
      <c r="AC273" t="s">
        <v>50</v>
      </c>
      <c r="AD273" t="s">
        <v>51</v>
      </c>
      <c r="AE273" t="s">
        <v>52</v>
      </c>
      <c r="AF273" t="s">
        <v>53</v>
      </c>
    </row>
    <row r="274" spans="1:32" ht="18" customHeight="1" thickBot="1">
      <c r="A274" s="9" t="s">
        <v>54</v>
      </c>
      <c r="B274" s="10" t="s">
        <v>55</v>
      </c>
      <c r="C274" s="10" t="s">
        <v>56</v>
      </c>
      <c r="D274" s="11" t="s">
        <v>57</v>
      </c>
      <c r="E274" s="9" t="s">
        <v>58</v>
      </c>
      <c r="F274" s="73"/>
      <c r="G274" s="76"/>
      <c r="H274" s="76"/>
      <c r="I274" s="78"/>
      <c r="J274" s="64"/>
      <c r="K274" s="81"/>
      <c r="L274" s="64"/>
      <c r="M274" s="58"/>
      <c r="N274" s="61"/>
      <c r="O274" s="64"/>
      <c r="P274" s="64"/>
      <c r="Q274" s="67"/>
      <c r="R274" s="67"/>
      <c r="U274" t="s">
        <v>59</v>
      </c>
      <c r="V274" t="s">
        <v>60</v>
      </c>
      <c r="W274" t="s">
        <v>61</v>
      </c>
      <c r="X274" t="s">
        <v>62</v>
      </c>
      <c r="Y274" t="s">
        <v>63</v>
      </c>
      <c r="AA274" t="s">
        <v>64</v>
      </c>
      <c r="AB274" t="s">
        <v>65</v>
      </c>
      <c r="AC274" t="s">
        <v>66</v>
      </c>
      <c r="AD274" t="s">
        <v>67</v>
      </c>
      <c r="AE274" t="s">
        <v>68</v>
      </c>
      <c r="AF274" t="s">
        <v>69</v>
      </c>
    </row>
    <row r="275" spans="1:32" ht="22.15" customHeight="1">
      <c r="A275" s="12">
        <v>181</v>
      </c>
      <c r="B275" s="13"/>
      <c r="C275" s="13"/>
      <c r="D275" s="13"/>
      <c r="E275" s="13"/>
      <c r="F275" s="14"/>
      <c r="G275" s="15"/>
      <c r="H275" s="15"/>
      <c r="I275" s="24"/>
      <c r="J275" s="17"/>
      <c r="K275" s="18"/>
      <c r="L275" s="19"/>
      <c r="M275" s="20"/>
      <c r="N275" s="21"/>
      <c r="O275" s="30"/>
      <c r="P275" s="30"/>
      <c r="Q275" s="23"/>
      <c r="R275" s="24"/>
      <c r="U275" t="s">
        <v>70</v>
      </c>
      <c r="V275" t="s">
        <v>71</v>
      </c>
      <c r="W275" t="s">
        <v>72</v>
      </c>
      <c r="X275" t="s">
        <v>73</v>
      </c>
      <c r="Y275" t="s">
        <v>74</v>
      </c>
      <c r="AA275" t="s">
        <v>75</v>
      </c>
      <c r="AB275" t="s">
        <v>76</v>
      </c>
      <c r="AC275" t="s">
        <v>77</v>
      </c>
      <c r="AD275" t="s">
        <v>78</v>
      </c>
      <c r="AE275" t="s">
        <v>79</v>
      </c>
    </row>
    <row r="276" spans="1:32" ht="22.15" customHeight="1">
      <c r="A276" s="12">
        <v>182</v>
      </c>
      <c r="B276" s="13"/>
      <c r="C276" s="13"/>
      <c r="D276" s="13"/>
      <c r="E276" s="13"/>
      <c r="F276" s="14"/>
      <c r="G276" s="15"/>
      <c r="H276" s="15"/>
      <c r="I276" s="24"/>
      <c r="J276" s="17"/>
      <c r="K276" s="18"/>
      <c r="L276" s="19"/>
      <c r="M276" s="20"/>
      <c r="N276" s="21"/>
      <c r="O276" s="30"/>
      <c r="P276" s="30"/>
      <c r="Q276" s="23"/>
      <c r="R276" s="24"/>
      <c r="U276" t="s">
        <v>80</v>
      </c>
      <c r="X276" t="s">
        <v>81</v>
      </c>
      <c r="Y276" t="s">
        <v>82</v>
      </c>
      <c r="AA276" t="s">
        <v>83</v>
      </c>
      <c r="AB276" t="s">
        <v>84</v>
      </c>
      <c r="AC276" t="s">
        <v>85</v>
      </c>
      <c r="AD276" t="s">
        <v>86</v>
      </c>
      <c r="AE276" t="s">
        <v>87</v>
      </c>
    </row>
    <row r="277" spans="1:32" ht="22.15" customHeight="1">
      <c r="A277" s="12">
        <v>183</v>
      </c>
      <c r="B277" s="13"/>
      <c r="C277" s="13"/>
      <c r="D277" s="13"/>
      <c r="E277" s="13"/>
      <c r="F277" s="14"/>
      <c r="G277" s="15"/>
      <c r="H277" s="15"/>
      <c r="I277" s="24"/>
      <c r="J277" s="17"/>
      <c r="K277" s="18"/>
      <c r="L277" s="19"/>
      <c r="M277" s="20"/>
      <c r="N277" s="21"/>
      <c r="O277" s="30"/>
      <c r="P277" s="30"/>
      <c r="Q277" s="23"/>
      <c r="R277" s="24"/>
      <c r="U277" t="s">
        <v>88</v>
      </c>
      <c r="V277" t="s">
        <v>89</v>
      </c>
      <c r="W277" t="s">
        <v>90</v>
      </c>
      <c r="X277" t="s">
        <v>91</v>
      </c>
      <c r="Y277" t="s">
        <v>92</v>
      </c>
      <c r="AA277" t="s">
        <v>93</v>
      </c>
      <c r="AB277" t="s">
        <v>94</v>
      </c>
      <c r="AC277" t="s">
        <v>95</v>
      </c>
      <c r="AD277" t="s">
        <v>96</v>
      </c>
      <c r="AE277" t="s">
        <v>97</v>
      </c>
    </row>
    <row r="278" spans="1:32" ht="22.15" customHeight="1">
      <c r="A278" s="12">
        <v>184</v>
      </c>
      <c r="B278" s="12"/>
      <c r="C278" s="13"/>
      <c r="D278" s="13"/>
      <c r="E278" s="13"/>
      <c r="F278" s="14"/>
      <c r="G278" s="15"/>
      <c r="H278" s="15"/>
      <c r="I278" s="24"/>
      <c r="J278" s="17"/>
      <c r="K278" s="18"/>
      <c r="L278" s="19"/>
      <c r="M278" s="20"/>
      <c r="N278" s="21"/>
      <c r="O278" s="30"/>
      <c r="P278" s="30"/>
      <c r="Q278" s="23"/>
      <c r="R278" s="24"/>
      <c r="V278" t="s">
        <v>98</v>
      </c>
      <c r="W278" t="s">
        <v>99</v>
      </c>
    </row>
    <row r="279" spans="1:32" ht="22.15" customHeight="1">
      <c r="A279" s="12">
        <v>185</v>
      </c>
      <c r="B279" s="12"/>
      <c r="C279" s="13"/>
      <c r="D279" s="13"/>
      <c r="E279" s="13"/>
      <c r="F279" s="14"/>
      <c r="G279" s="15"/>
      <c r="H279" s="15"/>
      <c r="I279" s="24"/>
      <c r="J279" s="17"/>
      <c r="K279" s="18"/>
      <c r="L279" s="19"/>
      <c r="M279" s="20"/>
      <c r="N279" s="21"/>
      <c r="O279" s="30"/>
      <c r="P279" s="30"/>
      <c r="Q279" s="23"/>
      <c r="R279" s="24"/>
      <c r="U279" t="s">
        <v>100</v>
      </c>
      <c r="V279" t="s">
        <v>101</v>
      </c>
      <c r="W279" t="s">
        <v>102</v>
      </c>
      <c r="X279" t="s">
        <v>103</v>
      </c>
      <c r="Y279" t="s">
        <v>103</v>
      </c>
      <c r="AA279" t="s">
        <v>104</v>
      </c>
      <c r="AB279" t="s">
        <v>105</v>
      </c>
      <c r="AC279" t="s">
        <v>106</v>
      </c>
      <c r="AD279" t="s">
        <v>40</v>
      </c>
      <c r="AE279" t="s">
        <v>107</v>
      </c>
    </row>
    <row r="280" spans="1:32" ht="22.15" customHeight="1">
      <c r="A280" s="12">
        <v>186</v>
      </c>
      <c r="B280" s="12"/>
      <c r="C280" s="13"/>
      <c r="D280" s="13"/>
      <c r="E280" s="13"/>
      <c r="F280" s="14"/>
      <c r="G280" s="15"/>
      <c r="H280" s="15"/>
      <c r="I280" s="24"/>
      <c r="J280" s="17"/>
      <c r="K280" s="18"/>
      <c r="L280" s="19"/>
      <c r="M280" s="20"/>
      <c r="N280" s="21"/>
      <c r="O280" s="30"/>
      <c r="P280" s="30"/>
      <c r="Q280" s="23"/>
      <c r="R280" s="24"/>
      <c r="X280" t="s">
        <v>108</v>
      </c>
      <c r="Y280" t="s">
        <v>108</v>
      </c>
      <c r="AA280" t="s">
        <v>109</v>
      </c>
      <c r="AB280" t="s">
        <v>110</v>
      </c>
      <c r="AC280" t="s">
        <v>111</v>
      </c>
      <c r="AD280" t="s">
        <v>52</v>
      </c>
    </row>
    <row r="281" spans="1:32" ht="22.15" customHeight="1">
      <c r="A281" s="12">
        <v>187</v>
      </c>
      <c r="B281" s="12"/>
      <c r="C281" s="13"/>
      <c r="D281" s="13"/>
      <c r="E281" s="13"/>
      <c r="F281" s="14"/>
      <c r="G281" s="15"/>
      <c r="H281" s="15"/>
      <c r="I281" s="24"/>
      <c r="J281" s="17"/>
      <c r="K281" s="18"/>
      <c r="L281" s="19"/>
      <c r="M281" s="20"/>
      <c r="N281" s="21"/>
      <c r="O281" s="30"/>
      <c r="P281" s="30"/>
      <c r="Q281" s="23"/>
      <c r="R281" s="24"/>
      <c r="U281" t="s">
        <v>112</v>
      </c>
      <c r="V281" t="s">
        <v>113</v>
      </c>
      <c r="W281" t="s">
        <v>114</v>
      </c>
      <c r="X281" t="s">
        <v>115</v>
      </c>
      <c r="Y281" t="s">
        <v>116</v>
      </c>
      <c r="AA281" t="s">
        <v>117</v>
      </c>
      <c r="AB281" t="s">
        <v>118</v>
      </c>
      <c r="AC281" t="s">
        <v>119</v>
      </c>
      <c r="AD281" t="s">
        <v>68</v>
      </c>
      <c r="AE281" t="s">
        <v>120</v>
      </c>
    </row>
    <row r="282" spans="1:32" ht="22.15" customHeight="1">
      <c r="A282" s="12">
        <v>188</v>
      </c>
      <c r="B282" s="12"/>
      <c r="C282" s="13"/>
      <c r="D282" s="13"/>
      <c r="E282" s="13"/>
      <c r="F282" s="14"/>
      <c r="G282" s="15"/>
      <c r="H282" s="15"/>
      <c r="I282" s="24"/>
      <c r="J282" s="17"/>
      <c r="K282" s="18"/>
      <c r="L282" s="19"/>
      <c r="M282" s="20"/>
      <c r="N282" s="21"/>
      <c r="O282" s="30"/>
      <c r="P282" s="30"/>
      <c r="Q282" s="23"/>
      <c r="R282" s="24"/>
      <c r="V282" t="s">
        <v>121</v>
      </c>
      <c r="W282" t="s">
        <v>122</v>
      </c>
      <c r="AE282" t="s">
        <v>123</v>
      </c>
    </row>
    <row r="283" spans="1:32" ht="22.15" customHeight="1">
      <c r="A283" s="12">
        <v>189</v>
      </c>
      <c r="B283" s="12"/>
      <c r="C283" s="13"/>
      <c r="D283" s="13"/>
      <c r="E283" s="13"/>
      <c r="F283" s="14"/>
      <c r="G283" s="15"/>
      <c r="H283" s="15"/>
      <c r="I283" s="24"/>
      <c r="J283" s="17"/>
      <c r="K283" s="18"/>
      <c r="L283" s="19"/>
      <c r="M283" s="20"/>
      <c r="N283" s="21"/>
      <c r="O283" s="30"/>
      <c r="P283" s="30"/>
      <c r="Q283" s="23"/>
      <c r="R283" s="24"/>
      <c r="U283" t="s">
        <v>124</v>
      </c>
      <c r="V283" t="s">
        <v>125</v>
      </c>
      <c r="W283" t="s">
        <v>126</v>
      </c>
      <c r="X283" t="s">
        <v>127</v>
      </c>
      <c r="Y283" t="s">
        <v>128</v>
      </c>
      <c r="AA283" t="s">
        <v>128</v>
      </c>
      <c r="AB283" t="s">
        <v>129</v>
      </c>
      <c r="AC283" t="s">
        <v>130</v>
      </c>
      <c r="AD283" t="s">
        <v>131</v>
      </c>
      <c r="AE283" t="s">
        <v>132</v>
      </c>
    </row>
    <row r="284" spans="1:32" ht="22.15" customHeight="1">
      <c r="A284" s="12">
        <v>190</v>
      </c>
      <c r="B284" s="12"/>
      <c r="C284" s="13"/>
      <c r="D284" s="13"/>
      <c r="E284" s="13"/>
      <c r="F284" s="14"/>
      <c r="G284" s="15"/>
      <c r="H284" s="15"/>
      <c r="I284" s="24"/>
      <c r="J284" s="17"/>
      <c r="K284" s="18"/>
      <c r="L284" s="19"/>
      <c r="M284" s="20"/>
      <c r="N284" s="21"/>
      <c r="O284" s="30"/>
      <c r="P284" s="30"/>
      <c r="Q284" s="23"/>
      <c r="R284" s="24"/>
      <c r="U284" t="s">
        <v>134</v>
      </c>
      <c r="X284" t="s">
        <v>135</v>
      </c>
      <c r="Y284" t="s">
        <v>136</v>
      </c>
      <c r="AA284" t="s">
        <v>136</v>
      </c>
      <c r="AB284" t="s">
        <v>137</v>
      </c>
      <c r="AC284" t="s">
        <v>138</v>
      </c>
      <c r="AD284" t="s">
        <v>139</v>
      </c>
    </row>
    <row r="285" spans="1:32" ht="22.15" customHeight="1">
      <c r="A285" s="12">
        <v>191</v>
      </c>
      <c r="B285" s="12"/>
      <c r="C285" s="13"/>
      <c r="D285" s="13"/>
      <c r="E285" s="13"/>
      <c r="F285" s="14"/>
      <c r="G285" s="15"/>
      <c r="H285" s="15"/>
      <c r="I285" s="24"/>
      <c r="J285" s="17"/>
      <c r="K285" s="18"/>
      <c r="L285" s="19"/>
      <c r="M285" s="20"/>
      <c r="N285" s="21"/>
      <c r="O285" s="30"/>
      <c r="P285" s="30"/>
      <c r="Q285" s="23"/>
      <c r="R285" s="24"/>
      <c r="U285" t="s">
        <v>140</v>
      </c>
      <c r="V285" t="s">
        <v>141</v>
      </c>
      <c r="W285" t="s">
        <v>142</v>
      </c>
      <c r="X285" t="s">
        <v>143</v>
      </c>
      <c r="Y285" t="s">
        <v>144</v>
      </c>
      <c r="AA285" t="s">
        <v>144</v>
      </c>
      <c r="AB285" t="s">
        <v>145</v>
      </c>
      <c r="AC285" t="s">
        <v>146</v>
      </c>
      <c r="AD285" t="s">
        <v>147</v>
      </c>
    </row>
    <row r="286" spans="1:32" ht="22.15" customHeight="1">
      <c r="A286" s="12">
        <v>192</v>
      </c>
      <c r="B286" s="12"/>
      <c r="C286" s="13"/>
      <c r="D286" s="13"/>
      <c r="E286" s="13"/>
      <c r="F286" s="14"/>
      <c r="G286" s="15"/>
      <c r="H286" s="15"/>
      <c r="I286" s="24"/>
      <c r="J286" s="17"/>
      <c r="K286" s="18"/>
      <c r="L286" s="19"/>
      <c r="M286" s="20"/>
      <c r="N286" s="21"/>
      <c r="O286" s="30"/>
      <c r="P286" s="30"/>
      <c r="Q286" s="23"/>
      <c r="R286" s="24"/>
      <c r="V286" t="s">
        <v>148</v>
      </c>
    </row>
    <row r="287" spans="1:32" ht="22.15" customHeight="1">
      <c r="A287" s="12">
        <v>193</v>
      </c>
      <c r="B287" s="12"/>
      <c r="C287" s="13"/>
      <c r="D287" s="13"/>
      <c r="E287" s="13"/>
      <c r="F287" s="14"/>
      <c r="G287" s="15"/>
      <c r="H287" s="15"/>
      <c r="I287" s="24"/>
      <c r="J287" s="17"/>
      <c r="K287" s="18"/>
      <c r="L287" s="19"/>
      <c r="M287" s="20"/>
      <c r="N287" s="21"/>
      <c r="O287" s="30"/>
      <c r="P287" s="30"/>
      <c r="Q287" s="23"/>
      <c r="R287" s="24"/>
      <c r="U287" t="s">
        <v>149</v>
      </c>
      <c r="W287" t="s">
        <v>150</v>
      </c>
      <c r="X287" t="s">
        <v>151</v>
      </c>
      <c r="Y287" t="s">
        <v>127</v>
      </c>
      <c r="AA287" t="s">
        <v>129</v>
      </c>
      <c r="AB287" t="s">
        <v>130</v>
      </c>
      <c r="AC287" t="s">
        <v>78</v>
      </c>
      <c r="AD287" t="s">
        <v>152</v>
      </c>
    </row>
    <row r="288" spans="1:32" ht="22.15" customHeight="1">
      <c r="A288" s="12">
        <v>194</v>
      </c>
      <c r="B288" s="12"/>
      <c r="C288" s="13"/>
      <c r="D288" s="13"/>
      <c r="E288" s="13"/>
      <c r="F288" s="14"/>
      <c r="G288" s="15"/>
      <c r="H288" s="15"/>
      <c r="I288" s="24"/>
      <c r="J288" s="17"/>
      <c r="K288" s="18"/>
      <c r="L288" s="19"/>
      <c r="M288" s="20"/>
      <c r="N288" s="21"/>
      <c r="O288" s="30"/>
      <c r="P288" s="30"/>
      <c r="Q288" s="23"/>
      <c r="R288" s="24"/>
      <c r="U288" t="s">
        <v>153</v>
      </c>
      <c r="V288" t="s">
        <v>154</v>
      </c>
      <c r="W288" t="s">
        <v>155</v>
      </c>
      <c r="X288" t="s">
        <v>156</v>
      </c>
      <c r="Y288" t="s">
        <v>135</v>
      </c>
      <c r="AA288" t="s">
        <v>137</v>
      </c>
      <c r="AB288" t="s">
        <v>138</v>
      </c>
      <c r="AC288" t="s">
        <v>86</v>
      </c>
      <c r="AD288" t="s">
        <v>157</v>
      </c>
    </row>
    <row r="289" spans="1:32" ht="22.15" customHeight="1">
      <c r="A289" s="12">
        <v>195</v>
      </c>
      <c r="B289" s="12"/>
      <c r="C289" s="13"/>
      <c r="D289" s="13"/>
      <c r="E289" s="13"/>
      <c r="F289" s="14"/>
      <c r="G289" s="15"/>
      <c r="H289" s="15"/>
      <c r="I289" s="24"/>
      <c r="J289" s="17"/>
      <c r="K289" s="18"/>
      <c r="L289" s="19"/>
      <c r="M289" s="20"/>
      <c r="N289" s="21"/>
      <c r="O289" s="30"/>
      <c r="P289" s="30"/>
      <c r="Q289" s="23"/>
      <c r="R289" s="24"/>
      <c r="U289" t="s">
        <v>158</v>
      </c>
      <c r="V289" t="s">
        <v>159</v>
      </c>
      <c r="X289" t="s">
        <v>160</v>
      </c>
      <c r="Y289" t="s">
        <v>143</v>
      </c>
      <c r="AA289" t="s">
        <v>145</v>
      </c>
      <c r="AB289" t="s">
        <v>146</v>
      </c>
      <c r="AC289" t="s">
        <v>96</v>
      </c>
      <c r="AD289" t="s">
        <v>161</v>
      </c>
    </row>
    <row r="290" spans="1:32" ht="22.15" customHeight="1">
      <c r="A290" s="12">
        <v>196</v>
      </c>
      <c r="B290" s="12"/>
      <c r="C290" s="13"/>
      <c r="D290" s="13"/>
      <c r="E290" s="13"/>
      <c r="F290" s="14"/>
      <c r="G290" s="15"/>
      <c r="H290" s="15"/>
      <c r="I290" s="24"/>
      <c r="J290" s="17"/>
      <c r="K290" s="18"/>
      <c r="L290" s="19"/>
      <c r="M290" s="20"/>
      <c r="N290" s="21"/>
      <c r="O290" s="30"/>
      <c r="P290" s="30"/>
      <c r="Q290" s="23"/>
      <c r="R290" s="24"/>
      <c r="V290" t="s">
        <v>162</v>
      </c>
      <c r="W290" t="s">
        <v>163</v>
      </c>
    </row>
    <row r="291" spans="1:32" ht="22.15" customHeight="1">
      <c r="A291" s="12">
        <v>197</v>
      </c>
      <c r="B291" s="12"/>
      <c r="C291" s="13"/>
      <c r="D291" s="13"/>
      <c r="E291" s="13"/>
      <c r="F291" s="14"/>
      <c r="G291" s="15"/>
      <c r="H291" s="15"/>
      <c r="I291" s="24"/>
      <c r="J291" s="17"/>
      <c r="K291" s="18"/>
      <c r="L291" s="19"/>
      <c r="M291" s="20"/>
      <c r="N291" s="21"/>
      <c r="O291" s="30"/>
      <c r="P291" s="30"/>
      <c r="Q291" s="23"/>
      <c r="R291" s="24"/>
      <c r="U291" t="s">
        <v>164</v>
      </c>
      <c r="W291" t="s">
        <v>165</v>
      </c>
      <c r="X291" t="s">
        <v>166</v>
      </c>
      <c r="Y291" t="s">
        <v>151</v>
      </c>
      <c r="AA291" t="s">
        <v>151</v>
      </c>
      <c r="AB291" t="s">
        <v>167</v>
      </c>
      <c r="AC291" t="s">
        <v>168</v>
      </c>
      <c r="AD291" t="s">
        <v>169</v>
      </c>
    </row>
    <row r="292" spans="1:32" ht="22.15" customHeight="1">
      <c r="A292" s="12">
        <v>198</v>
      </c>
      <c r="B292" s="12"/>
      <c r="C292" s="13"/>
      <c r="D292" s="13"/>
      <c r="E292" s="13"/>
      <c r="F292" s="14"/>
      <c r="G292" s="15"/>
      <c r="H292" s="15"/>
      <c r="I292" s="24"/>
      <c r="J292" s="17"/>
      <c r="K292" s="18"/>
      <c r="L292" s="19"/>
      <c r="M292" s="20"/>
      <c r="N292" s="21"/>
      <c r="O292" s="30"/>
      <c r="P292" s="30"/>
      <c r="Q292" s="23"/>
      <c r="R292" s="24"/>
      <c r="U292" t="s">
        <v>170</v>
      </c>
      <c r="V292" t="s">
        <v>171</v>
      </c>
      <c r="W292" t="s">
        <v>172</v>
      </c>
      <c r="Y292" t="s">
        <v>156</v>
      </c>
      <c r="AA292" t="s">
        <v>156</v>
      </c>
      <c r="AB292" t="s">
        <v>173</v>
      </c>
      <c r="AC292" t="s">
        <v>174</v>
      </c>
      <c r="AD292" t="s">
        <v>175</v>
      </c>
    </row>
    <row r="293" spans="1:32" ht="22.15" customHeight="1">
      <c r="A293" s="12">
        <v>199</v>
      </c>
      <c r="B293" s="12"/>
      <c r="C293" s="13"/>
      <c r="D293" s="13"/>
      <c r="E293" s="13"/>
      <c r="F293" s="14"/>
      <c r="G293" s="15"/>
      <c r="H293" s="15"/>
      <c r="I293" s="24"/>
      <c r="J293" s="17"/>
      <c r="K293" s="18"/>
      <c r="L293" s="19"/>
      <c r="M293" s="20"/>
      <c r="N293" s="21"/>
      <c r="O293" s="30"/>
      <c r="P293" s="30"/>
      <c r="Q293" s="23"/>
      <c r="R293" s="24"/>
      <c r="U293" t="s">
        <v>176</v>
      </c>
      <c r="V293" t="s">
        <v>177</v>
      </c>
      <c r="X293" t="s">
        <v>178</v>
      </c>
      <c r="Y293" t="s">
        <v>160</v>
      </c>
      <c r="AA293" t="s">
        <v>160</v>
      </c>
      <c r="AB293" t="s">
        <v>179</v>
      </c>
      <c r="AC293" t="s">
        <v>180</v>
      </c>
      <c r="AD293" t="s">
        <v>181</v>
      </c>
    </row>
    <row r="294" spans="1:32" ht="22.15" customHeight="1">
      <c r="A294" s="12">
        <v>200</v>
      </c>
      <c r="B294" s="12"/>
      <c r="C294" s="13"/>
      <c r="D294" s="13"/>
      <c r="E294" s="13"/>
      <c r="F294" s="14"/>
      <c r="G294" s="15"/>
      <c r="H294" s="15"/>
      <c r="I294" s="24"/>
      <c r="J294" s="17"/>
      <c r="K294" s="18"/>
      <c r="L294" s="19"/>
      <c r="M294" s="20"/>
      <c r="N294" s="21"/>
      <c r="O294" s="30"/>
      <c r="P294" s="30"/>
      <c r="Q294" s="23"/>
      <c r="R294" s="24"/>
      <c r="V294" t="s">
        <v>184</v>
      </c>
      <c r="W294" t="s">
        <v>185</v>
      </c>
      <c r="X294" t="s">
        <v>186</v>
      </c>
    </row>
    <row r="295" spans="1:32" ht="18" customHeight="1">
      <c r="A295" s="47" t="s">
        <v>302</v>
      </c>
      <c r="B295" s="48"/>
      <c r="C295" s="48"/>
      <c r="D295" s="48"/>
      <c r="E295" s="49"/>
      <c r="F295" s="50" t="s">
        <v>183</v>
      </c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2"/>
      <c r="U295" t="s">
        <v>320</v>
      </c>
      <c r="W295" t="s">
        <v>321</v>
      </c>
      <c r="X295" t="s">
        <v>322</v>
      </c>
      <c r="Y295" t="s">
        <v>323</v>
      </c>
      <c r="AA295" s="16" t="s">
        <v>167</v>
      </c>
      <c r="AB295" s="16" t="s">
        <v>168</v>
      </c>
      <c r="AC295" s="16" t="s">
        <v>131</v>
      </c>
      <c r="AD295" s="16" t="s">
        <v>253</v>
      </c>
    </row>
    <row r="296" spans="1:32" ht="18" customHeight="1">
      <c r="A296" s="12">
        <v>1</v>
      </c>
      <c r="B296" s="47" t="s">
        <v>187</v>
      </c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9"/>
      <c r="AA296" s="27" t="s">
        <v>188</v>
      </c>
      <c r="AB296" s="27" t="s">
        <v>189</v>
      </c>
      <c r="AC296" s="27" t="s">
        <v>190</v>
      </c>
    </row>
    <row r="297" spans="1:32" ht="18" customHeight="1">
      <c r="A297" s="23">
        <v>2</v>
      </c>
      <c r="B297" s="53" t="s">
        <v>191</v>
      </c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5"/>
      <c r="U297" t="s">
        <v>192</v>
      </c>
      <c r="V297" s="16" t="s">
        <v>193</v>
      </c>
      <c r="W297" t="s">
        <v>194</v>
      </c>
      <c r="Y297" t="s">
        <v>195</v>
      </c>
      <c r="AA297" s="16" t="s">
        <v>173</v>
      </c>
      <c r="AB297" s="16" t="s">
        <v>174</v>
      </c>
      <c r="AC297" s="16" t="s">
        <v>139</v>
      </c>
      <c r="AD297" s="16" t="s">
        <v>196</v>
      </c>
    </row>
    <row r="298" spans="1:32" ht="18" customHeight="1">
      <c r="A298" s="23">
        <v>3</v>
      </c>
      <c r="B298" s="47" t="s">
        <v>197</v>
      </c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9"/>
      <c r="V298" s="16" t="s">
        <v>198</v>
      </c>
      <c r="X298" s="16" t="s">
        <v>199</v>
      </c>
      <c r="Y298" t="s">
        <v>200</v>
      </c>
      <c r="AA298" s="16" t="s">
        <v>179</v>
      </c>
      <c r="AB298" s="16" t="s">
        <v>180</v>
      </c>
      <c r="AC298" s="16" t="s">
        <v>147</v>
      </c>
      <c r="AD298" s="16" t="s">
        <v>201</v>
      </c>
    </row>
    <row r="299" spans="1:32" ht="18" customHeight="1">
      <c r="A299" s="37" t="s">
        <v>202</v>
      </c>
      <c r="B299" s="38"/>
      <c r="C299" s="39">
        <f>C29</f>
        <v>0</v>
      </c>
      <c r="D299" s="39"/>
      <c r="E299" s="37" t="s">
        <v>203</v>
      </c>
      <c r="F299" s="40"/>
      <c r="G299" s="41">
        <f>G29</f>
        <v>0</v>
      </c>
      <c r="H299" s="42"/>
      <c r="I299" s="42"/>
      <c r="J299" s="42"/>
      <c r="K299" s="28" t="s">
        <v>204</v>
      </c>
      <c r="L299" s="43" t="s">
        <v>205</v>
      </c>
      <c r="M299" s="43"/>
      <c r="N299" s="43"/>
      <c r="O299" s="43"/>
      <c r="P299" s="43"/>
      <c r="Q299" s="43"/>
      <c r="R299" s="43"/>
      <c r="U299" t="s">
        <v>206</v>
      </c>
      <c r="W299" s="16" t="s">
        <v>207</v>
      </c>
      <c r="X299" s="16" t="s">
        <v>208</v>
      </c>
    </row>
    <row r="300" spans="1:32" ht="18" customHeight="1">
      <c r="A300" s="37" t="s">
        <v>209</v>
      </c>
      <c r="B300" s="38"/>
      <c r="C300" s="39">
        <f>C30</f>
        <v>0</v>
      </c>
      <c r="D300" s="39"/>
      <c r="E300" s="37" t="s">
        <v>210</v>
      </c>
      <c r="F300" s="40"/>
      <c r="G300" s="41">
        <f>G30</f>
        <v>0</v>
      </c>
      <c r="H300" s="42"/>
      <c r="I300" s="42"/>
      <c r="J300" s="42"/>
      <c r="K300" s="28" t="s">
        <v>204</v>
      </c>
      <c r="L300" s="43" t="s">
        <v>205</v>
      </c>
      <c r="M300" s="43"/>
      <c r="N300" s="43"/>
      <c r="O300" s="43"/>
      <c r="P300" s="43"/>
      <c r="Q300" s="43"/>
      <c r="R300" s="43"/>
      <c r="V300" s="16" t="s">
        <v>211</v>
      </c>
      <c r="W300" s="16" t="s">
        <v>212</v>
      </c>
      <c r="Y300" t="s">
        <v>213</v>
      </c>
      <c r="AA300" s="16" t="s">
        <v>214</v>
      </c>
      <c r="AB300" s="16" t="s">
        <v>214</v>
      </c>
      <c r="AC300" s="16" t="s">
        <v>215</v>
      </c>
      <c r="AD300" s="16" t="s">
        <v>216</v>
      </c>
    </row>
    <row r="301" spans="1:32" ht="48" customHeight="1">
      <c r="A301" s="69" t="s">
        <v>0</v>
      </c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1" t="s">
        <v>1</v>
      </c>
      <c r="M301" s="71"/>
      <c r="N301" s="71"/>
      <c r="O301" s="71"/>
      <c r="P301" s="71"/>
      <c r="Q301" s="1" t="s">
        <v>2</v>
      </c>
      <c r="R301" s="2" t="s">
        <v>3</v>
      </c>
      <c r="S301" s="3"/>
      <c r="T301" s="3" t="s">
        <v>4</v>
      </c>
      <c r="U301" s="4" t="s">
        <v>5</v>
      </c>
      <c r="V301" s="4" t="s">
        <v>6</v>
      </c>
      <c r="W301" s="4" t="s">
        <v>7</v>
      </c>
      <c r="X301" s="4" t="s">
        <v>8</v>
      </c>
      <c r="Y301" s="4" t="s">
        <v>9</v>
      </c>
      <c r="Z301" s="4"/>
      <c r="AA301" s="4" t="s">
        <v>10</v>
      </c>
      <c r="AB301" s="4" t="s">
        <v>11</v>
      </c>
      <c r="AC301" s="4" t="s">
        <v>12</v>
      </c>
      <c r="AD301" s="4" t="s">
        <v>13</v>
      </c>
      <c r="AE301" s="4" t="s">
        <v>14</v>
      </c>
      <c r="AF301" s="4" t="s">
        <v>15</v>
      </c>
    </row>
    <row r="302" spans="1:32" s="8" customFormat="1" ht="18" customHeight="1">
      <c r="A302" s="5" t="s">
        <v>16</v>
      </c>
      <c r="B302" s="44">
        <f>B2</f>
        <v>0</v>
      </c>
      <c r="C302" s="45"/>
      <c r="D302" s="45"/>
      <c r="E302" s="6" t="str">
        <f>E2</f>
        <v>Version:1</v>
      </c>
      <c r="F302" s="72" t="s">
        <v>18</v>
      </c>
      <c r="G302" s="74" t="s">
        <v>19</v>
      </c>
      <c r="H302" s="74" t="s">
        <v>20</v>
      </c>
      <c r="I302" s="77" t="s">
        <v>21</v>
      </c>
      <c r="J302" s="62" t="s">
        <v>22</v>
      </c>
      <c r="K302" s="79" t="s">
        <v>23</v>
      </c>
      <c r="L302" s="62" t="s">
        <v>24</v>
      </c>
      <c r="M302" s="56" t="s">
        <v>25</v>
      </c>
      <c r="N302" s="59" t="s">
        <v>26</v>
      </c>
      <c r="O302" s="62" t="s">
        <v>27</v>
      </c>
      <c r="P302" s="65" t="s">
        <v>28</v>
      </c>
      <c r="Q302" s="66" t="s">
        <v>29</v>
      </c>
      <c r="R302" s="68" t="s">
        <v>30</v>
      </c>
      <c r="S302"/>
      <c r="T302" s="7" t="str">
        <f>IF(C335&gt;18,IF(C335=20,Nennweite20,IF(C335=60,U304,IF(C335=50,Nennweite50,IF(C335=25,Nennweite25,IF(C335=32,Nennweite32,IF(C335=40,Nennweite40,"&gt;")))))),IF(C335=8,Nennweite8,IF(C335=6,Nennweite6,IF(C335=10,Nennweite10,IF(C335=18,Nennweite18,IF(C335=16,Nennweite16,IF(C335=12,Nennweite12,"")))))))</f>
        <v/>
      </c>
      <c r="U302" t="s">
        <v>31</v>
      </c>
      <c r="V302" t="s">
        <v>32</v>
      </c>
      <c r="W302" t="s">
        <v>33</v>
      </c>
      <c r="X302" t="s">
        <v>34</v>
      </c>
      <c r="Y302" t="s">
        <v>35</v>
      </c>
      <c r="Z302"/>
      <c r="AA302" t="s">
        <v>36</v>
      </c>
      <c r="AB302" t="s">
        <v>37</v>
      </c>
      <c r="AC302" t="s">
        <v>38</v>
      </c>
      <c r="AD302" t="s">
        <v>39</v>
      </c>
      <c r="AE302" t="s">
        <v>40</v>
      </c>
      <c r="AF302" t="s">
        <v>41</v>
      </c>
    </row>
    <row r="303" spans="1:32" ht="18" customHeight="1">
      <c r="A303" s="5" t="s">
        <v>42</v>
      </c>
      <c r="B303" s="44">
        <f>B3</f>
        <v>0</v>
      </c>
      <c r="C303" s="45"/>
      <c r="D303" s="45"/>
      <c r="E303" s="46"/>
      <c r="F303" s="72"/>
      <c r="G303" s="75"/>
      <c r="H303" s="75"/>
      <c r="I303" s="77"/>
      <c r="J303" s="63"/>
      <c r="K303" s="80"/>
      <c r="L303" s="63"/>
      <c r="M303" s="57"/>
      <c r="N303" s="60"/>
      <c r="O303" s="63"/>
      <c r="P303" s="63"/>
      <c r="Q303" s="66"/>
      <c r="R303" s="66"/>
      <c r="U303" t="s">
        <v>43</v>
      </c>
      <c r="V303" t="s">
        <v>44</v>
      </c>
      <c r="W303" t="s">
        <v>45</v>
      </c>
      <c r="X303" t="s">
        <v>46</v>
      </c>
      <c r="Y303" t="s">
        <v>47</v>
      </c>
      <c r="AA303" t="s">
        <v>48</v>
      </c>
      <c r="AB303" t="s">
        <v>49</v>
      </c>
      <c r="AC303" t="s">
        <v>50</v>
      </c>
      <c r="AD303" t="s">
        <v>51</v>
      </c>
      <c r="AE303" t="s">
        <v>52</v>
      </c>
      <c r="AF303" t="s">
        <v>53</v>
      </c>
    </row>
    <row r="304" spans="1:32" ht="18" customHeight="1" thickBot="1">
      <c r="A304" s="9" t="s">
        <v>54</v>
      </c>
      <c r="B304" s="10" t="s">
        <v>55</v>
      </c>
      <c r="C304" s="10" t="s">
        <v>56</v>
      </c>
      <c r="D304" s="11" t="s">
        <v>57</v>
      </c>
      <c r="E304" s="9" t="s">
        <v>58</v>
      </c>
      <c r="F304" s="73"/>
      <c r="G304" s="76"/>
      <c r="H304" s="76"/>
      <c r="I304" s="78"/>
      <c r="J304" s="64"/>
      <c r="K304" s="81"/>
      <c r="L304" s="64"/>
      <c r="M304" s="58"/>
      <c r="N304" s="61"/>
      <c r="O304" s="64"/>
      <c r="P304" s="64"/>
      <c r="Q304" s="67"/>
      <c r="R304" s="67"/>
      <c r="U304" t="s">
        <v>59</v>
      </c>
      <c r="V304" t="s">
        <v>60</v>
      </c>
      <c r="W304" t="s">
        <v>61</v>
      </c>
      <c r="X304" t="s">
        <v>62</v>
      </c>
      <c r="Y304" t="s">
        <v>63</v>
      </c>
      <c r="AA304" t="s">
        <v>64</v>
      </c>
      <c r="AB304" t="s">
        <v>65</v>
      </c>
      <c r="AC304" t="s">
        <v>66</v>
      </c>
      <c r="AD304" t="s">
        <v>67</v>
      </c>
      <c r="AE304" t="s">
        <v>68</v>
      </c>
      <c r="AF304" t="s">
        <v>69</v>
      </c>
    </row>
    <row r="305" spans="1:31" ht="22.15" customHeight="1">
      <c r="A305" s="12">
        <v>201</v>
      </c>
      <c r="B305" s="13"/>
      <c r="C305" s="13"/>
      <c r="D305" s="13"/>
      <c r="E305" s="13"/>
      <c r="F305" s="14"/>
      <c r="G305" s="15"/>
      <c r="H305" s="15"/>
      <c r="I305" s="24"/>
      <c r="J305" s="17"/>
      <c r="K305" s="18"/>
      <c r="L305" s="19"/>
      <c r="M305" s="20"/>
      <c r="N305" s="21"/>
      <c r="O305" s="30"/>
      <c r="P305" s="30"/>
      <c r="Q305" s="23"/>
      <c r="R305" s="24"/>
      <c r="U305" t="s">
        <v>70</v>
      </c>
      <c r="V305" t="s">
        <v>71</v>
      </c>
      <c r="W305" t="s">
        <v>72</v>
      </c>
      <c r="X305" t="s">
        <v>73</v>
      </c>
      <c r="Y305" t="s">
        <v>74</v>
      </c>
      <c r="AA305" t="s">
        <v>75</v>
      </c>
      <c r="AB305" t="s">
        <v>76</v>
      </c>
      <c r="AC305" t="s">
        <v>77</v>
      </c>
      <c r="AD305" t="s">
        <v>78</v>
      </c>
      <c r="AE305" t="s">
        <v>79</v>
      </c>
    </row>
    <row r="306" spans="1:31" ht="22.15" customHeight="1">
      <c r="A306" s="12">
        <v>202</v>
      </c>
      <c r="B306" s="13"/>
      <c r="C306" s="13"/>
      <c r="D306" s="13"/>
      <c r="E306" s="13"/>
      <c r="F306" s="14"/>
      <c r="G306" s="15"/>
      <c r="H306" s="15"/>
      <c r="I306" s="24"/>
      <c r="J306" s="17"/>
      <c r="K306" s="18"/>
      <c r="L306" s="19"/>
      <c r="M306" s="20"/>
      <c r="N306" s="21"/>
      <c r="O306" s="30"/>
      <c r="P306" s="30"/>
      <c r="Q306" s="23"/>
      <c r="R306" s="24"/>
      <c r="U306" t="s">
        <v>80</v>
      </c>
      <c r="X306" t="s">
        <v>81</v>
      </c>
      <c r="Y306" t="s">
        <v>82</v>
      </c>
      <c r="AA306" t="s">
        <v>83</v>
      </c>
      <c r="AB306" t="s">
        <v>84</v>
      </c>
      <c r="AC306" t="s">
        <v>85</v>
      </c>
      <c r="AD306" t="s">
        <v>86</v>
      </c>
      <c r="AE306" t="s">
        <v>87</v>
      </c>
    </row>
    <row r="307" spans="1:31" ht="22.15" customHeight="1">
      <c r="A307" s="12">
        <v>203</v>
      </c>
      <c r="B307" s="13"/>
      <c r="C307" s="13"/>
      <c r="D307" s="13"/>
      <c r="E307" s="13"/>
      <c r="F307" s="14"/>
      <c r="G307" s="15"/>
      <c r="H307" s="15"/>
      <c r="I307" s="24"/>
      <c r="J307" s="17"/>
      <c r="K307" s="18"/>
      <c r="L307" s="19"/>
      <c r="M307" s="20"/>
      <c r="N307" s="21"/>
      <c r="O307" s="30"/>
      <c r="P307" s="30"/>
      <c r="Q307" s="23"/>
      <c r="R307" s="24"/>
      <c r="U307" t="s">
        <v>88</v>
      </c>
      <c r="V307" t="s">
        <v>89</v>
      </c>
      <c r="W307" t="s">
        <v>90</v>
      </c>
      <c r="X307" t="s">
        <v>91</v>
      </c>
      <c r="Y307" t="s">
        <v>92</v>
      </c>
      <c r="AA307" t="s">
        <v>93</v>
      </c>
      <c r="AB307" t="s">
        <v>94</v>
      </c>
      <c r="AC307" t="s">
        <v>95</v>
      </c>
      <c r="AD307" t="s">
        <v>96</v>
      </c>
      <c r="AE307" t="s">
        <v>97</v>
      </c>
    </row>
    <row r="308" spans="1:31" ht="22.15" customHeight="1">
      <c r="A308" s="12">
        <v>204</v>
      </c>
      <c r="B308" s="12"/>
      <c r="C308" s="13"/>
      <c r="D308" s="13"/>
      <c r="E308" s="13"/>
      <c r="F308" s="14"/>
      <c r="G308" s="15"/>
      <c r="H308" s="15"/>
      <c r="I308" s="24"/>
      <c r="J308" s="17"/>
      <c r="K308" s="18"/>
      <c r="L308" s="19"/>
      <c r="M308" s="20"/>
      <c r="N308" s="21"/>
      <c r="O308" s="30"/>
      <c r="P308" s="30"/>
      <c r="Q308" s="23"/>
      <c r="R308" s="24"/>
      <c r="V308" t="s">
        <v>98</v>
      </c>
      <c r="W308" t="s">
        <v>99</v>
      </c>
    </row>
    <row r="309" spans="1:31" ht="22.15" customHeight="1">
      <c r="A309" s="12">
        <v>205</v>
      </c>
      <c r="B309" s="12"/>
      <c r="C309" s="13"/>
      <c r="D309" s="13"/>
      <c r="E309" s="13"/>
      <c r="F309" s="14"/>
      <c r="G309" s="15"/>
      <c r="H309" s="15"/>
      <c r="I309" s="24"/>
      <c r="J309" s="17"/>
      <c r="K309" s="18"/>
      <c r="L309" s="19"/>
      <c r="M309" s="20"/>
      <c r="N309" s="21"/>
      <c r="O309" s="30"/>
      <c r="P309" s="30"/>
      <c r="Q309" s="23"/>
      <c r="R309" s="24"/>
      <c r="U309" t="s">
        <v>100</v>
      </c>
      <c r="V309" t="s">
        <v>101</v>
      </c>
      <c r="W309" t="s">
        <v>102</v>
      </c>
      <c r="X309" t="s">
        <v>103</v>
      </c>
      <c r="Y309" t="s">
        <v>103</v>
      </c>
      <c r="AA309" t="s">
        <v>104</v>
      </c>
      <c r="AB309" t="s">
        <v>105</v>
      </c>
      <c r="AC309" t="s">
        <v>106</v>
      </c>
      <c r="AD309" t="s">
        <v>40</v>
      </c>
      <c r="AE309" t="s">
        <v>107</v>
      </c>
    </row>
    <row r="310" spans="1:31" ht="22.15" customHeight="1">
      <c r="A310" s="12">
        <v>206</v>
      </c>
      <c r="B310" s="12"/>
      <c r="C310" s="13"/>
      <c r="D310" s="13"/>
      <c r="E310" s="13"/>
      <c r="F310" s="14"/>
      <c r="G310" s="15"/>
      <c r="H310" s="15"/>
      <c r="I310" s="24"/>
      <c r="J310" s="17"/>
      <c r="K310" s="18"/>
      <c r="L310" s="19"/>
      <c r="M310" s="20"/>
      <c r="N310" s="21"/>
      <c r="O310" s="30"/>
      <c r="P310" s="30"/>
      <c r="Q310" s="23"/>
      <c r="R310" s="24"/>
      <c r="X310" t="s">
        <v>108</v>
      </c>
      <c r="Y310" t="s">
        <v>108</v>
      </c>
      <c r="AA310" t="s">
        <v>109</v>
      </c>
      <c r="AB310" t="s">
        <v>110</v>
      </c>
      <c r="AC310" t="s">
        <v>111</v>
      </c>
      <c r="AD310" t="s">
        <v>52</v>
      </c>
    </row>
    <row r="311" spans="1:31" ht="22.15" customHeight="1">
      <c r="A311" s="12">
        <v>207</v>
      </c>
      <c r="B311" s="12"/>
      <c r="C311" s="13"/>
      <c r="D311" s="13"/>
      <c r="E311" s="13"/>
      <c r="F311" s="14"/>
      <c r="G311" s="15"/>
      <c r="H311" s="15"/>
      <c r="I311" s="24"/>
      <c r="J311" s="17"/>
      <c r="K311" s="18"/>
      <c r="L311" s="19"/>
      <c r="M311" s="20"/>
      <c r="N311" s="21"/>
      <c r="O311" s="30"/>
      <c r="P311" s="30"/>
      <c r="Q311" s="23"/>
      <c r="R311" s="24"/>
      <c r="U311" t="s">
        <v>112</v>
      </c>
      <c r="V311" t="s">
        <v>113</v>
      </c>
      <c r="W311" t="s">
        <v>114</v>
      </c>
      <c r="X311" t="s">
        <v>115</v>
      </c>
      <c r="Y311" t="s">
        <v>116</v>
      </c>
      <c r="AA311" t="s">
        <v>117</v>
      </c>
      <c r="AB311" t="s">
        <v>118</v>
      </c>
      <c r="AC311" t="s">
        <v>119</v>
      </c>
      <c r="AD311" t="s">
        <v>68</v>
      </c>
      <c r="AE311" t="s">
        <v>120</v>
      </c>
    </row>
    <row r="312" spans="1:31" ht="22.15" customHeight="1">
      <c r="A312" s="12">
        <v>208</v>
      </c>
      <c r="B312" s="12"/>
      <c r="C312" s="13"/>
      <c r="D312" s="13"/>
      <c r="E312" s="13"/>
      <c r="F312" s="14"/>
      <c r="G312" s="15"/>
      <c r="H312" s="15"/>
      <c r="I312" s="24"/>
      <c r="J312" s="17"/>
      <c r="K312" s="18"/>
      <c r="L312" s="19"/>
      <c r="M312" s="20"/>
      <c r="N312" s="21"/>
      <c r="O312" s="30"/>
      <c r="P312" s="30"/>
      <c r="Q312" s="23"/>
      <c r="R312" s="24"/>
      <c r="V312" t="s">
        <v>121</v>
      </c>
      <c r="W312" t="s">
        <v>122</v>
      </c>
      <c r="AE312" t="s">
        <v>123</v>
      </c>
    </row>
    <row r="313" spans="1:31" ht="22.15" customHeight="1">
      <c r="A313" s="12">
        <v>209</v>
      </c>
      <c r="B313" s="12"/>
      <c r="C313" s="13"/>
      <c r="D313" s="13"/>
      <c r="E313" s="13"/>
      <c r="F313" s="14"/>
      <c r="G313" s="15"/>
      <c r="H313" s="15"/>
      <c r="I313" s="24"/>
      <c r="J313" s="17"/>
      <c r="K313" s="18"/>
      <c r="L313" s="19"/>
      <c r="M313" s="20"/>
      <c r="N313" s="21"/>
      <c r="O313" s="30"/>
      <c r="P313" s="30"/>
      <c r="Q313" s="23"/>
      <c r="R313" s="24"/>
      <c r="U313" t="s">
        <v>124</v>
      </c>
      <c r="V313" t="s">
        <v>125</v>
      </c>
      <c r="W313" t="s">
        <v>126</v>
      </c>
      <c r="X313" t="s">
        <v>127</v>
      </c>
      <c r="Y313" t="s">
        <v>128</v>
      </c>
      <c r="AA313" t="s">
        <v>128</v>
      </c>
      <c r="AB313" t="s">
        <v>129</v>
      </c>
      <c r="AC313" t="s">
        <v>130</v>
      </c>
      <c r="AD313" t="s">
        <v>131</v>
      </c>
      <c r="AE313" t="s">
        <v>132</v>
      </c>
    </row>
    <row r="314" spans="1:31" ht="22.15" customHeight="1">
      <c r="A314" s="12">
        <v>210</v>
      </c>
      <c r="B314" s="12"/>
      <c r="C314" s="13"/>
      <c r="D314" s="13"/>
      <c r="E314" s="13"/>
      <c r="F314" s="14"/>
      <c r="G314" s="15"/>
      <c r="H314" s="15"/>
      <c r="I314" s="24"/>
      <c r="J314" s="17"/>
      <c r="K314" s="18"/>
      <c r="L314" s="19"/>
      <c r="M314" s="20"/>
      <c r="N314" s="21"/>
      <c r="O314" s="30"/>
      <c r="P314" s="30"/>
      <c r="Q314" s="23"/>
      <c r="R314" s="24"/>
      <c r="U314" t="s">
        <v>134</v>
      </c>
      <c r="X314" t="s">
        <v>135</v>
      </c>
      <c r="Y314" t="s">
        <v>136</v>
      </c>
      <c r="AA314" t="s">
        <v>136</v>
      </c>
      <c r="AB314" t="s">
        <v>137</v>
      </c>
      <c r="AC314" t="s">
        <v>138</v>
      </c>
      <c r="AD314" t="s">
        <v>139</v>
      </c>
    </row>
    <row r="315" spans="1:31" ht="22.15" customHeight="1">
      <c r="A315" s="12">
        <v>211</v>
      </c>
      <c r="B315" s="12"/>
      <c r="C315" s="13"/>
      <c r="D315" s="13"/>
      <c r="E315" s="13"/>
      <c r="F315" s="14"/>
      <c r="G315" s="15"/>
      <c r="H315" s="15"/>
      <c r="I315" s="24"/>
      <c r="J315" s="17"/>
      <c r="K315" s="18"/>
      <c r="L315" s="19"/>
      <c r="M315" s="20"/>
      <c r="N315" s="21"/>
      <c r="O315" s="30"/>
      <c r="P315" s="30"/>
      <c r="Q315" s="23"/>
      <c r="R315" s="24"/>
      <c r="U315" t="s">
        <v>140</v>
      </c>
      <c r="V315" t="s">
        <v>141</v>
      </c>
      <c r="W315" t="s">
        <v>142</v>
      </c>
      <c r="X315" t="s">
        <v>143</v>
      </c>
      <c r="Y315" t="s">
        <v>144</v>
      </c>
      <c r="AA315" t="s">
        <v>144</v>
      </c>
      <c r="AB315" t="s">
        <v>145</v>
      </c>
      <c r="AC315" t="s">
        <v>146</v>
      </c>
      <c r="AD315" t="s">
        <v>147</v>
      </c>
    </row>
    <row r="316" spans="1:31" ht="22.15" customHeight="1">
      <c r="A316" s="12">
        <v>212</v>
      </c>
      <c r="B316" s="12"/>
      <c r="C316" s="13"/>
      <c r="D316" s="13"/>
      <c r="E316" s="13"/>
      <c r="F316" s="14"/>
      <c r="G316" s="15"/>
      <c r="H316" s="15"/>
      <c r="I316" s="24"/>
      <c r="J316" s="17"/>
      <c r="K316" s="18"/>
      <c r="L316" s="19"/>
      <c r="M316" s="20"/>
      <c r="N316" s="21"/>
      <c r="O316" s="30"/>
      <c r="P316" s="30"/>
      <c r="Q316" s="23"/>
      <c r="R316" s="24"/>
      <c r="V316" t="s">
        <v>148</v>
      </c>
    </row>
    <row r="317" spans="1:31" ht="22.15" customHeight="1">
      <c r="A317" s="12">
        <v>213</v>
      </c>
      <c r="B317" s="12"/>
      <c r="C317" s="13"/>
      <c r="D317" s="13"/>
      <c r="E317" s="13"/>
      <c r="F317" s="14"/>
      <c r="G317" s="15"/>
      <c r="H317" s="15"/>
      <c r="I317" s="24"/>
      <c r="J317" s="17"/>
      <c r="K317" s="18"/>
      <c r="L317" s="19"/>
      <c r="M317" s="20"/>
      <c r="N317" s="21"/>
      <c r="O317" s="30"/>
      <c r="P317" s="30"/>
      <c r="Q317" s="23"/>
      <c r="R317" s="24"/>
      <c r="U317" t="s">
        <v>149</v>
      </c>
      <c r="W317" t="s">
        <v>150</v>
      </c>
      <c r="X317" t="s">
        <v>151</v>
      </c>
      <c r="Y317" t="s">
        <v>127</v>
      </c>
      <c r="AA317" t="s">
        <v>129</v>
      </c>
      <c r="AB317" t="s">
        <v>130</v>
      </c>
      <c r="AC317" t="s">
        <v>78</v>
      </c>
      <c r="AD317" t="s">
        <v>152</v>
      </c>
    </row>
    <row r="318" spans="1:31" ht="22.15" customHeight="1">
      <c r="A318" s="12">
        <v>214</v>
      </c>
      <c r="B318" s="12"/>
      <c r="C318" s="13"/>
      <c r="D318" s="13"/>
      <c r="E318" s="13"/>
      <c r="F318" s="14"/>
      <c r="G318" s="15"/>
      <c r="H318" s="15"/>
      <c r="I318" s="24"/>
      <c r="J318" s="17"/>
      <c r="K318" s="18"/>
      <c r="L318" s="19"/>
      <c r="M318" s="20"/>
      <c r="N318" s="21"/>
      <c r="O318" s="30"/>
      <c r="P318" s="30"/>
      <c r="Q318" s="23"/>
      <c r="R318" s="24"/>
      <c r="U318" t="s">
        <v>153</v>
      </c>
      <c r="V318" t="s">
        <v>154</v>
      </c>
      <c r="W318" t="s">
        <v>155</v>
      </c>
      <c r="X318" t="s">
        <v>156</v>
      </c>
      <c r="Y318" t="s">
        <v>135</v>
      </c>
      <c r="AA318" t="s">
        <v>137</v>
      </c>
      <c r="AB318" t="s">
        <v>138</v>
      </c>
      <c r="AC318" t="s">
        <v>86</v>
      </c>
      <c r="AD318" t="s">
        <v>157</v>
      </c>
    </row>
    <row r="319" spans="1:31" ht="22.15" customHeight="1">
      <c r="A319" s="12">
        <v>215</v>
      </c>
      <c r="B319" s="12"/>
      <c r="C319" s="13"/>
      <c r="D319" s="13"/>
      <c r="E319" s="13"/>
      <c r="F319" s="14"/>
      <c r="G319" s="15"/>
      <c r="H319" s="15"/>
      <c r="I319" s="24"/>
      <c r="J319" s="17"/>
      <c r="K319" s="18"/>
      <c r="L319" s="19"/>
      <c r="M319" s="20"/>
      <c r="N319" s="21"/>
      <c r="O319" s="30"/>
      <c r="P319" s="30"/>
      <c r="Q319" s="23"/>
      <c r="R319" s="24"/>
      <c r="U319" t="s">
        <v>158</v>
      </c>
      <c r="V319" t="s">
        <v>159</v>
      </c>
      <c r="X319" t="s">
        <v>160</v>
      </c>
      <c r="Y319" t="s">
        <v>143</v>
      </c>
      <c r="AA319" t="s">
        <v>145</v>
      </c>
      <c r="AB319" t="s">
        <v>146</v>
      </c>
      <c r="AC319" t="s">
        <v>96</v>
      </c>
      <c r="AD319" t="s">
        <v>161</v>
      </c>
    </row>
    <row r="320" spans="1:31" ht="22.15" customHeight="1">
      <c r="A320" s="12">
        <v>216</v>
      </c>
      <c r="B320" s="12"/>
      <c r="C320" s="13"/>
      <c r="D320" s="13"/>
      <c r="E320" s="13"/>
      <c r="F320" s="14"/>
      <c r="G320" s="15"/>
      <c r="H320" s="15"/>
      <c r="I320" s="24"/>
      <c r="J320" s="17"/>
      <c r="K320" s="18"/>
      <c r="L320" s="19"/>
      <c r="M320" s="20"/>
      <c r="N320" s="21"/>
      <c r="O320" s="30"/>
      <c r="P320" s="30"/>
      <c r="Q320" s="23"/>
      <c r="R320" s="24"/>
      <c r="V320" t="s">
        <v>162</v>
      </c>
      <c r="W320" t="s">
        <v>163</v>
      </c>
    </row>
    <row r="321" spans="1:32" ht="22.15" customHeight="1">
      <c r="A321" s="12">
        <v>217</v>
      </c>
      <c r="B321" s="12"/>
      <c r="C321" s="13"/>
      <c r="D321" s="13"/>
      <c r="E321" s="13"/>
      <c r="F321" s="14"/>
      <c r="G321" s="15"/>
      <c r="H321" s="15"/>
      <c r="I321" s="24"/>
      <c r="J321" s="17"/>
      <c r="K321" s="18"/>
      <c r="L321" s="19"/>
      <c r="M321" s="20"/>
      <c r="N321" s="21"/>
      <c r="O321" s="30"/>
      <c r="P321" s="30"/>
      <c r="Q321" s="23"/>
      <c r="R321" s="24"/>
      <c r="U321" t="s">
        <v>164</v>
      </c>
      <c r="W321" t="s">
        <v>165</v>
      </c>
      <c r="X321" t="s">
        <v>166</v>
      </c>
      <c r="Y321" t="s">
        <v>151</v>
      </c>
      <c r="AA321" t="s">
        <v>151</v>
      </c>
      <c r="AB321" t="s">
        <v>167</v>
      </c>
      <c r="AC321" t="s">
        <v>168</v>
      </c>
      <c r="AD321" t="s">
        <v>169</v>
      </c>
    </row>
    <row r="322" spans="1:32" ht="22.15" customHeight="1">
      <c r="A322" s="12">
        <v>218</v>
      </c>
      <c r="B322" s="12"/>
      <c r="C322" s="13"/>
      <c r="D322" s="13"/>
      <c r="E322" s="13"/>
      <c r="F322" s="14"/>
      <c r="G322" s="15"/>
      <c r="H322" s="15"/>
      <c r="I322" s="24"/>
      <c r="J322" s="17"/>
      <c r="K322" s="18"/>
      <c r="L322" s="19"/>
      <c r="M322" s="20"/>
      <c r="N322" s="21"/>
      <c r="O322" s="30"/>
      <c r="P322" s="30"/>
      <c r="Q322" s="23"/>
      <c r="R322" s="24"/>
      <c r="U322" t="s">
        <v>170</v>
      </c>
      <c r="V322" t="s">
        <v>171</v>
      </c>
      <c r="W322" t="s">
        <v>172</v>
      </c>
      <c r="Y322" t="s">
        <v>156</v>
      </c>
      <c r="AA322" t="s">
        <v>156</v>
      </c>
      <c r="AB322" t="s">
        <v>173</v>
      </c>
      <c r="AC322" t="s">
        <v>174</v>
      </c>
      <c r="AD322" t="s">
        <v>175</v>
      </c>
    </row>
    <row r="323" spans="1:32" ht="22.15" customHeight="1">
      <c r="A323" s="12">
        <v>219</v>
      </c>
      <c r="B323" s="12"/>
      <c r="C323" s="13"/>
      <c r="D323" s="13"/>
      <c r="E323" s="13"/>
      <c r="F323" s="14"/>
      <c r="G323" s="15"/>
      <c r="H323" s="15"/>
      <c r="I323" s="24"/>
      <c r="J323" s="17"/>
      <c r="K323" s="18"/>
      <c r="L323" s="19"/>
      <c r="M323" s="20"/>
      <c r="N323" s="21"/>
      <c r="O323" s="30"/>
      <c r="P323" s="30"/>
      <c r="Q323" s="23"/>
      <c r="R323" s="24"/>
      <c r="U323" t="s">
        <v>176</v>
      </c>
      <c r="V323" t="s">
        <v>177</v>
      </c>
      <c r="X323" t="s">
        <v>178</v>
      </c>
      <c r="Y323" t="s">
        <v>160</v>
      </c>
      <c r="AA323" t="s">
        <v>160</v>
      </c>
      <c r="AB323" t="s">
        <v>179</v>
      </c>
      <c r="AC323" t="s">
        <v>180</v>
      </c>
      <c r="AD323" t="s">
        <v>181</v>
      </c>
    </row>
    <row r="324" spans="1:32" ht="22.15" customHeight="1">
      <c r="A324" s="12">
        <v>220</v>
      </c>
      <c r="B324" s="12"/>
      <c r="C324" s="13"/>
      <c r="D324" s="13"/>
      <c r="E324" s="13"/>
      <c r="F324" s="14"/>
      <c r="G324" s="15"/>
      <c r="H324" s="15"/>
      <c r="I324" s="24"/>
      <c r="J324" s="17"/>
      <c r="K324" s="18"/>
      <c r="L324" s="19"/>
      <c r="M324" s="20"/>
      <c r="N324" s="21"/>
      <c r="O324" s="30"/>
      <c r="P324" s="30"/>
      <c r="Q324" s="23"/>
      <c r="R324" s="24"/>
      <c r="V324" t="s">
        <v>184</v>
      </c>
      <c r="W324" t="s">
        <v>185</v>
      </c>
      <c r="X324" t="s">
        <v>186</v>
      </c>
    </row>
    <row r="325" spans="1:32" ht="18" customHeight="1">
      <c r="A325" s="47" t="s">
        <v>302</v>
      </c>
      <c r="B325" s="48"/>
      <c r="C325" s="48"/>
      <c r="D325" s="48"/>
      <c r="E325" s="49"/>
      <c r="F325" s="50" t="s">
        <v>183</v>
      </c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2"/>
      <c r="U325" t="s">
        <v>320</v>
      </c>
      <c r="W325" t="s">
        <v>321</v>
      </c>
      <c r="X325" t="s">
        <v>322</v>
      </c>
      <c r="Y325" t="s">
        <v>323</v>
      </c>
      <c r="AA325" s="16" t="s">
        <v>167</v>
      </c>
      <c r="AB325" s="16" t="s">
        <v>168</v>
      </c>
      <c r="AC325" s="16" t="s">
        <v>131</v>
      </c>
      <c r="AD325" s="16" t="s">
        <v>253</v>
      </c>
    </row>
    <row r="326" spans="1:32" ht="18" customHeight="1">
      <c r="A326" s="12">
        <v>1</v>
      </c>
      <c r="B326" s="47" t="s">
        <v>187</v>
      </c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9"/>
      <c r="AA326" s="27" t="s">
        <v>188</v>
      </c>
      <c r="AB326" s="27" t="s">
        <v>189</v>
      </c>
      <c r="AC326" s="27" t="s">
        <v>190</v>
      </c>
    </row>
    <row r="327" spans="1:32" ht="18" customHeight="1">
      <c r="A327" s="23">
        <v>2</v>
      </c>
      <c r="B327" s="53" t="s">
        <v>191</v>
      </c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5"/>
      <c r="U327" t="s">
        <v>192</v>
      </c>
      <c r="V327" s="16" t="s">
        <v>193</v>
      </c>
      <c r="W327" t="s">
        <v>194</v>
      </c>
      <c r="Y327" t="s">
        <v>195</v>
      </c>
      <c r="AA327" s="16" t="s">
        <v>173</v>
      </c>
      <c r="AB327" s="16" t="s">
        <v>174</v>
      </c>
      <c r="AC327" s="16" t="s">
        <v>139</v>
      </c>
      <c r="AD327" s="16" t="s">
        <v>196</v>
      </c>
    </row>
    <row r="328" spans="1:32" ht="18" customHeight="1">
      <c r="A328" s="23">
        <v>3</v>
      </c>
      <c r="B328" s="47" t="s">
        <v>197</v>
      </c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9"/>
      <c r="V328" s="16" t="s">
        <v>198</v>
      </c>
      <c r="X328" s="16" t="s">
        <v>199</v>
      </c>
      <c r="Y328" t="s">
        <v>200</v>
      </c>
      <c r="AA328" s="16" t="s">
        <v>179</v>
      </c>
      <c r="AB328" s="16" t="s">
        <v>180</v>
      </c>
      <c r="AC328" s="16" t="s">
        <v>147</v>
      </c>
      <c r="AD328" s="16" t="s">
        <v>201</v>
      </c>
    </row>
    <row r="329" spans="1:32" ht="18" customHeight="1">
      <c r="A329" s="37" t="s">
        <v>202</v>
      </c>
      <c r="B329" s="38"/>
      <c r="C329" s="39">
        <f>C29</f>
        <v>0</v>
      </c>
      <c r="D329" s="39"/>
      <c r="E329" s="37" t="s">
        <v>203</v>
      </c>
      <c r="F329" s="40"/>
      <c r="G329" s="41">
        <f>G29</f>
        <v>0</v>
      </c>
      <c r="H329" s="42"/>
      <c r="I329" s="42"/>
      <c r="J329" s="42"/>
      <c r="K329" s="28" t="s">
        <v>204</v>
      </c>
      <c r="L329" s="43" t="s">
        <v>205</v>
      </c>
      <c r="M329" s="43"/>
      <c r="N329" s="43"/>
      <c r="O329" s="43"/>
      <c r="P329" s="43"/>
      <c r="Q329" s="43"/>
      <c r="R329" s="43"/>
      <c r="U329" t="s">
        <v>206</v>
      </c>
      <c r="W329" s="16" t="s">
        <v>207</v>
      </c>
      <c r="X329" s="16" t="s">
        <v>208</v>
      </c>
    </row>
    <row r="330" spans="1:32" ht="18" customHeight="1">
      <c r="A330" s="37" t="s">
        <v>209</v>
      </c>
      <c r="B330" s="38"/>
      <c r="C330" s="39">
        <f>C30</f>
        <v>0</v>
      </c>
      <c r="D330" s="39"/>
      <c r="E330" s="37" t="s">
        <v>210</v>
      </c>
      <c r="F330" s="40"/>
      <c r="G330" s="41">
        <f>G30</f>
        <v>0</v>
      </c>
      <c r="H330" s="42"/>
      <c r="I330" s="42"/>
      <c r="J330" s="42"/>
      <c r="K330" s="28" t="s">
        <v>204</v>
      </c>
      <c r="L330" s="43" t="s">
        <v>205</v>
      </c>
      <c r="M330" s="43"/>
      <c r="N330" s="43"/>
      <c r="O330" s="43"/>
      <c r="P330" s="43"/>
      <c r="Q330" s="43"/>
      <c r="R330" s="43"/>
      <c r="V330" s="16" t="s">
        <v>211</v>
      </c>
      <c r="W330" s="16" t="s">
        <v>212</v>
      </c>
      <c r="Y330" t="s">
        <v>213</v>
      </c>
      <c r="AA330" s="16" t="s">
        <v>214</v>
      </c>
      <c r="AB330" s="16" t="s">
        <v>214</v>
      </c>
      <c r="AC330" s="16" t="s">
        <v>215</v>
      </c>
      <c r="AD330" s="16" t="s">
        <v>216</v>
      </c>
    </row>
    <row r="331" spans="1:32" ht="48" customHeight="1">
      <c r="A331" s="69" t="s">
        <v>0</v>
      </c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1" t="s">
        <v>1</v>
      </c>
      <c r="M331" s="71"/>
      <c r="N331" s="71"/>
      <c r="O331" s="71"/>
      <c r="P331" s="71"/>
      <c r="Q331" s="1" t="s">
        <v>2</v>
      </c>
      <c r="R331" s="2" t="s">
        <v>3</v>
      </c>
      <c r="S331" s="3"/>
      <c r="T331" s="3" t="s">
        <v>4</v>
      </c>
      <c r="U331" s="4" t="s">
        <v>5</v>
      </c>
      <c r="V331" s="4" t="s">
        <v>6</v>
      </c>
      <c r="W331" s="4" t="s">
        <v>7</v>
      </c>
      <c r="X331" s="4" t="s">
        <v>8</v>
      </c>
      <c r="Y331" s="4" t="s">
        <v>9</v>
      </c>
      <c r="Z331" s="4"/>
      <c r="AA331" s="4" t="s">
        <v>10</v>
      </c>
      <c r="AB331" s="4" t="s">
        <v>11</v>
      </c>
      <c r="AC331" s="4" t="s">
        <v>12</v>
      </c>
      <c r="AD331" s="4" t="s">
        <v>13</v>
      </c>
      <c r="AE331" s="4" t="s">
        <v>14</v>
      </c>
      <c r="AF331" s="4" t="s">
        <v>15</v>
      </c>
    </row>
    <row r="332" spans="1:32" s="8" customFormat="1" ht="18" customHeight="1">
      <c r="A332" s="5" t="s">
        <v>16</v>
      </c>
      <c r="B332" s="44">
        <f>B2</f>
        <v>0</v>
      </c>
      <c r="C332" s="45"/>
      <c r="D332" s="45"/>
      <c r="E332" s="6" t="str">
        <f>E2</f>
        <v>Version:1</v>
      </c>
      <c r="F332" s="72" t="s">
        <v>18</v>
      </c>
      <c r="G332" s="74" t="s">
        <v>19</v>
      </c>
      <c r="H332" s="74" t="s">
        <v>20</v>
      </c>
      <c r="I332" s="77" t="s">
        <v>21</v>
      </c>
      <c r="J332" s="62" t="s">
        <v>22</v>
      </c>
      <c r="K332" s="79" t="s">
        <v>23</v>
      </c>
      <c r="L332" s="62" t="s">
        <v>24</v>
      </c>
      <c r="M332" s="56" t="s">
        <v>25</v>
      </c>
      <c r="N332" s="59" t="s">
        <v>26</v>
      </c>
      <c r="O332" s="62" t="s">
        <v>27</v>
      </c>
      <c r="P332" s="65" t="s">
        <v>28</v>
      </c>
      <c r="Q332" s="66" t="s">
        <v>29</v>
      </c>
      <c r="R332" s="68" t="s">
        <v>30</v>
      </c>
      <c r="S332"/>
      <c r="T332" s="7" t="str">
        <f>IF(C365&gt;18,IF(C365=20,Nennweite20,IF(C365=60,U334,IF(C365=50,Nennweite50,IF(C365=25,Nennweite25,IF(C365=32,Nennweite32,IF(C365=40,Nennweite40,"&gt;")))))),IF(C365=8,Nennweite8,IF(C365=6,Nennweite6,IF(C365=10,Nennweite10,IF(C365=18,Nennweite18,IF(C365=16,Nennweite16,IF(C365=12,Nennweite12,"")))))))</f>
        <v/>
      </c>
      <c r="U332" t="s">
        <v>31</v>
      </c>
      <c r="V332" t="s">
        <v>32</v>
      </c>
      <c r="W332" t="s">
        <v>33</v>
      </c>
      <c r="X332" t="s">
        <v>34</v>
      </c>
      <c r="Y332" t="s">
        <v>35</v>
      </c>
      <c r="Z332"/>
      <c r="AA332" t="s">
        <v>36</v>
      </c>
      <c r="AB332" t="s">
        <v>37</v>
      </c>
      <c r="AC332" t="s">
        <v>38</v>
      </c>
      <c r="AD332" t="s">
        <v>39</v>
      </c>
      <c r="AE332" t="s">
        <v>40</v>
      </c>
      <c r="AF332" t="s">
        <v>41</v>
      </c>
    </row>
    <row r="333" spans="1:32" ht="18" customHeight="1">
      <c r="A333" s="5" t="s">
        <v>42</v>
      </c>
      <c r="B333" s="44">
        <f>B3</f>
        <v>0</v>
      </c>
      <c r="C333" s="45"/>
      <c r="D333" s="45"/>
      <c r="E333" s="46"/>
      <c r="F333" s="72"/>
      <c r="G333" s="75"/>
      <c r="H333" s="75"/>
      <c r="I333" s="77"/>
      <c r="J333" s="63"/>
      <c r="K333" s="80"/>
      <c r="L333" s="63"/>
      <c r="M333" s="57"/>
      <c r="N333" s="60"/>
      <c r="O333" s="63"/>
      <c r="P333" s="63"/>
      <c r="Q333" s="66"/>
      <c r="R333" s="66"/>
      <c r="U333" t="s">
        <v>43</v>
      </c>
      <c r="V333" t="s">
        <v>44</v>
      </c>
      <c r="W333" t="s">
        <v>45</v>
      </c>
      <c r="X333" t="s">
        <v>46</v>
      </c>
      <c r="Y333" t="s">
        <v>47</v>
      </c>
      <c r="AA333" t="s">
        <v>48</v>
      </c>
      <c r="AB333" t="s">
        <v>49</v>
      </c>
      <c r="AC333" t="s">
        <v>50</v>
      </c>
      <c r="AD333" t="s">
        <v>51</v>
      </c>
      <c r="AE333" t="s">
        <v>52</v>
      </c>
      <c r="AF333" t="s">
        <v>53</v>
      </c>
    </row>
    <row r="334" spans="1:32" ht="18" customHeight="1" thickBot="1">
      <c r="A334" s="9" t="s">
        <v>54</v>
      </c>
      <c r="B334" s="10" t="s">
        <v>55</v>
      </c>
      <c r="C334" s="10" t="s">
        <v>56</v>
      </c>
      <c r="D334" s="11" t="s">
        <v>57</v>
      </c>
      <c r="E334" s="9" t="s">
        <v>58</v>
      </c>
      <c r="F334" s="73"/>
      <c r="G334" s="76"/>
      <c r="H334" s="76"/>
      <c r="I334" s="78"/>
      <c r="J334" s="64"/>
      <c r="K334" s="81"/>
      <c r="L334" s="64"/>
      <c r="M334" s="58"/>
      <c r="N334" s="61"/>
      <c r="O334" s="64"/>
      <c r="P334" s="64"/>
      <c r="Q334" s="67"/>
      <c r="R334" s="67"/>
      <c r="U334" t="s">
        <v>59</v>
      </c>
      <c r="V334" t="s">
        <v>60</v>
      </c>
      <c r="W334" t="s">
        <v>61</v>
      </c>
      <c r="X334" t="s">
        <v>62</v>
      </c>
      <c r="Y334" t="s">
        <v>63</v>
      </c>
      <c r="AA334" t="s">
        <v>64</v>
      </c>
      <c r="AB334" t="s">
        <v>65</v>
      </c>
      <c r="AC334" t="s">
        <v>66</v>
      </c>
      <c r="AD334" t="s">
        <v>67</v>
      </c>
      <c r="AE334" t="s">
        <v>68</v>
      </c>
      <c r="AF334" t="s">
        <v>69</v>
      </c>
    </row>
    <row r="335" spans="1:32" ht="22.15" customHeight="1">
      <c r="A335" s="12">
        <v>221</v>
      </c>
      <c r="B335" s="13"/>
      <c r="C335" s="13"/>
      <c r="D335" s="13"/>
      <c r="E335" s="13"/>
      <c r="F335" s="14"/>
      <c r="G335" s="15"/>
      <c r="H335" s="15"/>
      <c r="I335" s="24"/>
      <c r="J335" s="17"/>
      <c r="K335" s="18"/>
      <c r="L335" s="19"/>
      <c r="M335" s="31"/>
      <c r="N335" s="21"/>
      <c r="O335" s="30"/>
      <c r="P335" s="30"/>
      <c r="Q335" s="23"/>
      <c r="R335" s="24"/>
      <c r="U335" t="s">
        <v>70</v>
      </c>
      <c r="V335" t="s">
        <v>71</v>
      </c>
      <c r="W335" t="s">
        <v>72</v>
      </c>
      <c r="X335" t="s">
        <v>73</v>
      </c>
      <c r="Y335" t="s">
        <v>74</v>
      </c>
      <c r="AA335" t="s">
        <v>75</v>
      </c>
      <c r="AB335" t="s">
        <v>76</v>
      </c>
      <c r="AC335" t="s">
        <v>77</v>
      </c>
      <c r="AD335" t="s">
        <v>78</v>
      </c>
      <c r="AE335" t="s">
        <v>79</v>
      </c>
    </row>
    <row r="336" spans="1:32" ht="22.15" customHeight="1">
      <c r="A336" s="12">
        <v>222</v>
      </c>
      <c r="B336" s="13"/>
      <c r="C336" s="13"/>
      <c r="D336" s="13"/>
      <c r="E336" s="13"/>
      <c r="F336" s="14"/>
      <c r="G336" s="15"/>
      <c r="H336" s="15"/>
      <c r="I336" s="24"/>
      <c r="J336" s="17"/>
      <c r="K336" s="18"/>
      <c r="L336" s="19"/>
      <c r="M336" s="31"/>
      <c r="N336" s="21"/>
      <c r="O336" s="30"/>
      <c r="P336" s="30"/>
      <c r="Q336" s="23"/>
      <c r="R336" s="24"/>
      <c r="U336" t="s">
        <v>80</v>
      </c>
      <c r="X336" t="s">
        <v>81</v>
      </c>
      <c r="Y336" t="s">
        <v>82</v>
      </c>
      <c r="AA336" t="s">
        <v>83</v>
      </c>
      <c r="AB336" t="s">
        <v>84</v>
      </c>
      <c r="AC336" t="s">
        <v>85</v>
      </c>
      <c r="AD336" t="s">
        <v>86</v>
      </c>
      <c r="AE336" t="s">
        <v>87</v>
      </c>
    </row>
    <row r="337" spans="1:31" ht="22.15" customHeight="1">
      <c r="A337" s="12">
        <v>223</v>
      </c>
      <c r="B337" s="13"/>
      <c r="C337" s="13"/>
      <c r="D337" s="13"/>
      <c r="E337" s="13"/>
      <c r="F337" s="14"/>
      <c r="G337" s="15"/>
      <c r="H337" s="15"/>
      <c r="I337" s="24"/>
      <c r="J337" s="17"/>
      <c r="K337" s="18"/>
      <c r="L337" s="19"/>
      <c r="M337" s="31"/>
      <c r="N337" s="21"/>
      <c r="O337" s="30"/>
      <c r="P337" s="30"/>
      <c r="Q337" s="23"/>
      <c r="R337" s="24"/>
      <c r="U337" t="s">
        <v>88</v>
      </c>
      <c r="V337" t="s">
        <v>89</v>
      </c>
      <c r="W337" t="s">
        <v>90</v>
      </c>
      <c r="X337" t="s">
        <v>91</v>
      </c>
      <c r="Y337" t="s">
        <v>92</v>
      </c>
      <c r="AA337" t="s">
        <v>93</v>
      </c>
      <c r="AB337" t="s">
        <v>94</v>
      </c>
      <c r="AC337" t="s">
        <v>95</v>
      </c>
      <c r="AD337" t="s">
        <v>96</v>
      </c>
      <c r="AE337" t="s">
        <v>97</v>
      </c>
    </row>
    <row r="338" spans="1:31" ht="22.15" customHeight="1">
      <c r="A338" s="12">
        <v>224</v>
      </c>
      <c r="B338" s="12"/>
      <c r="C338" s="13"/>
      <c r="D338" s="13"/>
      <c r="E338" s="13"/>
      <c r="F338" s="14"/>
      <c r="G338" s="15"/>
      <c r="H338" s="15"/>
      <c r="I338" s="24"/>
      <c r="J338" s="17"/>
      <c r="K338" s="18"/>
      <c r="L338" s="19"/>
      <c r="M338" s="31"/>
      <c r="N338" s="21"/>
      <c r="O338" s="30"/>
      <c r="P338" s="30"/>
      <c r="Q338" s="23"/>
      <c r="R338" s="24"/>
      <c r="V338" t="s">
        <v>98</v>
      </c>
      <c r="W338" t="s">
        <v>99</v>
      </c>
    </row>
    <row r="339" spans="1:31" ht="22.15" customHeight="1">
      <c r="A339" s="12">
        <v>225</v>
      </c>
      <c r="B339" s="12"/>
      <c r="C339" s="13"/>
      <c r="D339" s="13"/>
      <c r="E339" s="13"/>
      <c r="F339" s="14"/>
      <c r="G339" s="15"/>
      <c r="H339" s="15"/>
      <c r="I339" s="24"/>
      <c r="J339" s="17"/>
      <c r="K339" s="18"/>
      <c r="L339" s="19"/>
      <c r="M339" s="31"/>
      <c r="N339" s="21"/>
      <c r="O339" s="30"/>
      <c r="P339" s="30"/>
      <c r="Q339" s="23"/>
      <c r="R339" s="24"/>
      <c r="U339" t="s">
        <v>100</v>
      </c>
      <c r="V339" t="s">
        <v>101</v>
      </c>
      <c r="W339" t="s">
        <v>102</v>
      </c>
      <c r="X339" t="s">
        <v>103</v>
      </c>
      <c r="Y339" t="s">
        <v>103</v>
      </c>
      <c r="AA339" t="s">
        <v>104</v>
      </c>
      <c r="AB339" t="s">
        <v>105</v>
      </c>
      <c r="AC339" t="s">
        <v>106</v>
      </c>
      <c r="AD339" t="s">
        <v>40</v>
      </c>
      <c r="AE339" t="s">
        <v>107</v>
      </c>
    </row>
    <row r="340" spans="1:31" ht="22.15" customHeight="1">
      <c r="A340" s="12">
        <v>226</v>
      </c>
      <c r="B340" s="12"/>
      <c r="C340" s="13"/>
      <c r="D340" s="13"/>
      <c r="E340" s="13"/>
      <c r="F340" s="14"/>
      <c r="G340" s="15"/>
      <c r="H340" s="15"/>
      <c r="I340" s="24"/>
      <c r="J340" s="17"/>
      <c r="K340" s="18"/>
      <c r="L340" s="19"/>
      <c r="M340" s="31"/>
      <c r="N340" s="21"/>
      <c r="O340" s="30"/>
      <c r="P340" s="30"/>
      <c r="Q340" s="23"/>
      <c r="R340" s="24"/>
      <c r="X340" t="s">
        <v>108</v>
      </c>
      <c r="Y340" t="s">
        <v>108</v>
      </c>
      <c r="AA340" t="s">
        <v>109</v>
      </c>
      <c r="AB340" t="s">
        <v>110</v>
      </c>
      <c r="AC340" t="s">
        <v>111</v>
      </c>
      <c r="AD340" t="s">
        <v>52</v>
      </c>
    </row>
    <row r="341" spans="1:31" ht="22.15" customHeight="1">
      <c r="A341" s="12">
        <v>227</v>
      </c>
      <c r="B341" s="12"/>
      <c r="C341" s="13"/>
      <c r="D341" s="13"/>
      <c r="E341" s="13"/>
      <c r="F341" s="14"/>
      <c r="G341" s="15"/>
      <c r="H341" s="15"/>
      <c r="I341" s="24"/>
      <c r="J341" s="17"/>
      <c r="K341" s="18"/>
      <c r="L341" s="19"/>
      <c r="M341" s="31"/>
      <c r="N341" s="21"/>
      <c r="O341" s="30"/>
      <c r="P341" s="30"/>
      <c r="Q341" s="23"/>
      <c r="R341" s="24"/>
      <c r="U341" t="s">
        <v>112</v>
      </c>
      <c r="V341" t="s">
        <v>113</v>
      </c>
      <c r="W341" t="s">
        <v>114</v>
      </c>
      <c r="X341" t="s">
        <v>115</v>
      </c>
      <c r="Y341" t="s">
        <v>116</v>
      </c>
      <c r="AA341" t="s">
        <v>117</v>
      </c>
      <c r="AB341" t="s">
        <v>118</v>
      </c>
      <c r="AC341" t="s">
        <v>119</v>
      </c>
      <c r="AD341" t="s">
        <v>68</v>
      </c>
      <c r="AE341" t="s">
        <v>120</v>
      </c>
    </row>
    <row r="342" spans="1:31" ht="22.15" customHeight="1">
      <c r="A342" s="12">
        <v>228</v>
      </c>
      <c r="B342" s="12"/>
      <c r="C342" s="13"/>
      <c r="D342" s="13"/>
      <c r="E342" s="13"/>
      <c r="F342" s="14"/>
      <c r="G342" s="15"/>
      <c r="H342" s="15"/>
      <c r="I342" s="24"/>
      <c r="J342" s="17"/>
      <c r="K342" s="18"/>
      <c r="L342" s="19"/>
      <c r="M342" s="31"/>
      <c r="N342" s="21"/>
      <c r="O342" s="30"/>
      <c r="P342" s="30"/>
      <c r="Q342" s="23"/>
      <c r="R342" s="24"/>
      <c r="V342" t="s">
        <v>121</v>
      </c>
      <c r="W342" t="s">
        <v>122</v>
      </c>
      <c r="AE342" t="s">
        <v>123</v>
      </c>
    </row>
    <row r="343" spans="1:31" ht="22.15" customHeight="1">
      <c r="A343" s="12">
        <v>229</v>
      </c>
      <c r="B343" s="12"/>
      <c r="C343" s="13"/>
      <c r="D343" s="13"/>
      <c r="E343" s="13"/>
      <c r="F343" s="14"/>
      <c r="G343" s="15"/>
      <c r="H343" s="15"/>
      <c r="I343" s="24"/>
      <c r="J343" s="17"/>
      <c r="K343" s="18"/>
      <c r="L343" s="19"/>
      <c r="M343" s="31"/>
      <c r="N343" s="21"/>
      <c r="O343" s="30"/>
      <c r="P343" s="30"/>
      <c r="Q343" s="23"/>
      <c r="R343" s="24"/>
      <c r="U343" t="s">
        <v>124</v>
      </c>
      <c r="V343" t="s">
        <v>125</v>
      </c>
      <c r="W343" t="s">
        <v>126</v>
      </c>
      <c r="X343" t="s">
        <v>127</v>
      </c>
      <c r="Y343" t="s">
        <v>128</v>
      </c>
      <c r="AA343" t="s">
        <v>128</v>
      </c>
      <c r="AB343" t="s">
        <v>129</v>
      </c>
      <c r="AC343" t="s">
        <v>130</v>
      </c>
      <c r="AD343" t="s">
        <v>131</v>
      </c>
      <c r="AE343" t="s">
        <v>132</v>
      </c>
    </row>
    <row r="344" spans="1:31" ht="22.15" customHeight="1">
      <c r="A344" s="12">
        <v>230</v>
      </c>
      <c r="B344" s="12"/>
      <c r="C344" s="13"/>
      <c r="D344" s="13"/>
      <c r="E344" s="13"/>
      <c r="F344" s="14"/>
      <c r="G344" s="15"/>
      <c r="H344" s="15"/>
      <c r="I344" s="24"/>
      <c r="J344" s="17"/>
      <c r="K344" s="18"/>
      <c r="L344" s="19"/>
      <c r="M344" s="31"/>
      <c r="N344" s="21"/>
      <c r="O344" s="30"/>
      <c r="P344" s="30"/>
      <c r="Q344" s="23"/>
      <c r="R344" s="24"/>
      <c r="U344" t="s">
        <v>134</v>
      </c>
      <c r="X344" t="s">
        <v>135</v>
      </c>
      <c r="Y344" t="s">
        <v>136</v>
      </c>
      <c r="AA344" t="s">
        <v>136</v>
      </c>
      <c r="AB344" t="s">
        <v>137</v>
      </c>
      <c r="AC344" t="s">
        <v>138</v>
      </c>
      <c r="AD344" t="s">
        <v>139</v>
      </c>
    </row>
    <row r="345" spans="1:31" ht="22.15" customHeight="1">
      <c r="A345" s="12">
        <v>231</v>
      </c>
      <c r="B345" s="12"/>
      <c r="C345" s="13"/>
      <c r="D345" s="13"/>
      <c r="E345" s="13"/>
      <c r="F345" s="14"/>
      <c r="G345" s="15"/>
      <c r="H345" s="15"/>
      <c r="I345" s="24"/>
      <c r="J345" s="17"/>
      <c r="K345" s="18"/>
      <c r="L345" s="19"/>
      <c r="M345" s="31"/>
      <c r="N345" s="21"/>
      <c r="O345" s="30"/>
      <c r="P345" s="30"/>
      <c r="Q345" s="23"/>
      <c r="R345" s="24"/>
      <c r="U345" t="s">
        <v>140</v>
      </c>
      <c r="V345" t="s">
        <v>141</v>
      </c>
      <c r="W345" t="s">
        <v>142</v>
      </c>
      <c r="X345" t="s">
        <v>143</v>
      </c>
      <c r="Y345" t="s">
        <v>144</v>
      </c>
      <c r="AA345" t="s">
        <v>144</v>
      </c>
      <c r="AB345" t="s">
        <v>145</v>
      </c>
      <c r="AC345" t="s">
        <v>146</v>
      </c>
      <c r="AD345" t="s">
        <v>147</v>
      </c>
    </row>
    <row r="346" spans="1:31" ht="22.15" customHeight="1">
      <c r="A346" s="12">
        <v>232</v>
      </c>
      <c r="B346" s="12"/>
      <c r="C346" s="13"/>
      <c r="D346" s="13"/>
      <c r="E346" s="13"/>
      <c r="F346" s="14"/>
      <c r="G346" s="15"/>
      <c r="H346" s="15"/>
      <c r="I346" s="24"/>
      <c r="J346" s="17"/>
      <c r="K346" s="18"/>
      <c r="L346" s="19"/>
      <c r="M346" s="31"/>
      <c r="N346" s="21"/>
      <c r="O346" s="30"/>
      <c r="P346" s="30"/>
      <c r="Q346" s="23"/>
      <c r="R346" s="24"/>
      <c r="V346" t="s">
        <v>148</v>
      </c>
    </row>
    <row r="347" spans="1:31" ht="22.15" customHeight="1">
      <c r="A347" s="12">
        <v>233</v>
      </c>
      <c r="B347" s="12"/>
      <c r="C347" s="13"/>
      <c r="D347" s="13"/>
      <c r="E347" s="13"/>
      <c r="F347" s="14"/>
      <c r="G347" s="15"/>
      <c r="H347" s="15"/>
      <c r="I347" s="24"/>
      <c r="J347" s="17"/>
      <c r="K347" s="18"/>
      <c r="L347" s="19"/>
      <c r="M347" s="31"/>
      <c r="N347" s="21"/>
      <c r="O347" s="30"/>
      <c r="P347" s="30"/>
      <c r="Q347" s="23"/>
      <c r="R347" s="24"/>
      <c r="U347" t="s">
        <v>149</v>
      </c>
      <c r="W347" t="s">
        <v>150</v>
      </c>
      <c r="X347" t="s">
        <v>151</v>
      </c>
      <c r="Y347" t="s">
        <v>127</v>
      </c>
      <c r="AA347" t="s">
        <v>129</v>
      </c>
      <c r="AB347" t="s">
        <v>130</v>
      </c>
      <c r="AC347" t="s">
        <v>78</v>
      </c>
      <c r="AD347" t="s">
        <v>152</v>
      </c>
    </row>
    <row r="348" spans="1:31" ht="22.15" customHeight="1">
      <c r="A348" s="12">
        <v>234</v>
      </c>
      <c r="B348" s="12"/>
      <c r="C348" s="13"/>
      <c r="D348" s="13"/>
      <c r="E348" s="13"/>
      <c r="F348" s="14"/>
      <c r="G348" s="15"/>
      <c r="H348" s="15"/>
      <c r="I348" s="24"/>
      <c r="J348" s="17"/>
      <c r="K348" s="18"/>
      <c r="L348" s="19"/>
      <c r="M348" s="31"/>
      <c r="N348" s="21"/>
      <c r="O348" s="30"/>
      <c r="P348" s="30"/>
      <c r="Q348" s="23"/>
      <c r="R348" s="24"/>
      <c r="U348" t="s">
        <v>153</v>
      </c>
      <c r="V348" t="s">
        <v>154</v>
      </c>
      <c r="W348" t="s">
        <v>155</v>
      </c>
      <c r="X348" t="s">
        <v>156</v>
      </c>
      <c r="Y348" t="s">
        <v>135</v>
      </c>
      <c r="AA348" t="s">
        <v>137</v>
      </c>
      <c r="AB348" t="s">
        <v>138</v>
      </c>
      <c r="AC348" t="s">
        <v>86</v>
      </c>
      <c r="AD348" t="s">
        <v>157</v>
      </c>
    </row>
    <row r="349" spans="1:31" ht="22.15" customHeight="1">
      <c r="A349" s="12">
        <v>235</v>
      </c>
      <c r="B349" s="12"/>
      <c r="C349" s="13"/>
      <c r="D349" s="13"/>
      <c r="E349" s="13"/>
      <c r="F349" s="14"/>
      <c r="G349" s="15"/>
      <c r="H349" s="15"/>
      <c r="I349" s="24"/>
      <c r="J349" s="17"/>
      <c r="K349" s="18"/>
      <c r="L349" s="19"/>
      <c r="M349" s="31"/>
      <c r="N349" s="21"/>
      <c r="O349" s="30"/>
      <c r="P349" s="30"/>
      <c r="Q349" s="23"/>
      <c r="R349" s="24"/>
      <c r="U349" t="s">
        <v>158</v>
      </c>
      <c r="V349" t="s">
        <v>159</v>
      </c>
      <c r="X349" t="s">
        <v>160</v>
      </c>
      <c r="Y349" t="s">
        <v>143</v>
      </c>
      <c r="AA349" t="s">
        <v>145</v>
      </c>
      <c r="AB349" t="s">
        <v>146</v>
      </c>
      <c r="AC349" t="s">
        <v>96</v>
      </c>
      <c r="AD349" t="s">
        <v>161</v>
      </c>
    </row>
    <row r="350" spans="1:31" ht="22.15" customHeight="1">
      <c r="A350" s="12">
        <v>236</v>
      </c>
      <c r="B350" s="12"/>
      <c r="C350" s="13"/>
      <c r="D350" s="13"/>
      <c r="E350" s="13"/>
      <c r="F350" s="14"/>
      <c r="G350" s="15"/>
      <c r="H350" s="15"/>
      <c r="I350" s="24"/>
      <c r="J350" s="17"/>
      <c r="K350" s="18"/>
      <c r="L350" s="19"/>
      <c r="M350" s="31"/>
      <c r="N350" s="21"/>
      <c r="O350" s="30"/>
      <c r="P350" s="30"/>
      <c r="Q350" s="23"/>
      <c r="R350" s="24"/>
      <c r="V350" t="s">
        <v>162</v>
      </c>
      <c r="W350" t="s">
        <v>163</v>
      </c>
    </row>
    <row r="351" spans="1:31" ht="22.15" customHeight="1">
      <c r="A351" s="12">
        <v>237</v>
      </c>
      <c r="B351" s="12"/>
      <c r="C351" s="13"/>
      <c r="D351" s="13"/>
      <c r="E351" s="13"/>
      <c r="F351" s="14"/>
      <c r="G351" s="15"/>
      <c r="H351" s="15"/>
      <c r="I351" s="24"/>
      <c r="J351" s="17"/>
      <c r="K351" s="18"/>
      <c r="L351" s="19"/>
      <c r="M351" s="31"/>
      <c r="N351" s="21"/>
      <c r="O351" s="30"/>
      <c r="P351" s="30"/>
      <c r="Q351" s="23"/>
      <c r="R351" s="24"/>
      <c r="U351" t="s">
        <v>164</v>
      </c>
      <c r="W351" t="s">
        <v>165</v>
      </c>
      <c r="X351" t="s">
        <v>166</v>
      </c>
      <c r="Y351" t="s">
        <v>151</v>
      </c>
      <c r="AA351" t="s">
        <v>151</v>
      </c>
      <c r="AB351" t="s">
        <v>167</v>
      </c>
      <c r="AC351" t="s">
        <v>168</v>
      </c>
      <c r="AD351" t="s">
        <v>169</v>
      </c>
    </row>
    <row r="352" spans="1:31" ht="22.15" customHeight="1">
      <c r="A352" s="12">
        <v>238</v>
      </c>
      <c r="B352" s="12"/>
      <c r="C352" s="13"/>
      <c r="D352" s="13"/>
      <c r="E352" s="13"/>
      <c r="F352" s="14"/>
      <c r="G352" s="15"/>
      <c r="H352" s="15"/>
      <c r="I352" s="24"/>
      <c r="J352" s="17"/>
      <c r="K352" s="18"/>
      <c r="L352" s="19"/>
      <c r="M352" s="31"/>
      <c r="N352" s="21"/>
      <c r="O352" s="30"/>
      <c r="P352" s="30"/>
      <c r="Q352" s="23"/>
      <c r="R352" s="24"/>
      <c r="U352" t="s">
        <v>170</v>
      </c>
      <c r="V352" t="s">
        <v>171</v>
      </c>
      <c r="W352" t="s">
        <v>172</v>
      </c>
      <c r="Y352" t="s">
        <v>156</v>
      </c>
      <c r="AA352" t="s">
        <v>156</v>
      </c>
      <c r="AB352" t="s">
        <v>173</v>
      </c>
      <c r="AC352" t="s">
        <v>174</v>
      </c>
      <c r="AD352" t="s">
        <v>175</v>
      </c>
    </row>
    <row r="353" spans="1:32" ht="22.15" customHeight="1">
      <c r="A353" s="12">
        <v>239</v>
      </c>
      <c r="B353" s="12"/>
      <c r="C353" s="13"/>
      <c r="D353" s="13"/>
      <c r="E353" s="13"/>
      <c r="F353" s="14"/>
      <c r="G353" s="15"/>
      <c r="H353" s="15"/>
      <c r="I353" s="24"/>
      <c r="J353" s="17"/>
      <c r="K353" s="18"/>
      <c r="L353" s="19"/>
      <c r="M353" s="31"/>
      <c r="N353" s="21"/>
      <c r="O353" s="30"/>
      <c r="P353" s="30"/>
      <c r="Q353" s="23"/>
      <c r="R353" s="24"/>
      <c r="U353" t="s">
        <v>176</v>
      </c>
      <c r="V353" t="s">
        <v>177</v>
      </c>
      <c r="X353" t="s">
        <v>178</v>
      </c>
      <c r="Y353" t="s">
        <v>160</v>
      </c>
      <c r="AA353" t="s">
        <v>160</v>
      </c>
      <c r="AB353" t="s">
        <v>179</v>
      </c>
      <c r="AC353" t="s">
        <v>180</v>
      </c>
      <c r="AD353" t="s">
        <v>181</v>
      </c>
    </row>
    <row r="354" spans="1:32" ht="22.15" customHeight="1">
      <c r="A354" s="12">
        <v>240</v>
      </c>
      <c r="B354" s="12"/>
      <c r="C354" s="13"/>
      <c r="D354" s="13"/>
      <c r="E354" s="13"/>
      <c r="F354" s="14"/>
      <c r="G354" s="15"/>
      <c r="H354" s="15"/>
      <c r="I354" s="24"/>
      <c r="J354" s="17"/>
      <c r="K354" s="18"/>
      <c r="L354" s="19"/>
      <c r="M354" s="31"/>
      <c r="N354" s="21"/>
      <c r="O354" s="30"/>
      <c r="P354" s="30"/>
      <c r="Q354" s="23"/>
      <c r="R354" s="24"/>
      <c r="V354" t="s">
        <v>184</v>
      </c>
      <c r="W354" t="s">
        <v>185</v>
      </c>
      <c r="X354" t="s">
        <v>186</v>
      </c>
    </row>
    <row r="355" spans="1:32" ht="18" customHeight="1">
      <c r="A355" s="47" t="s">
        <v>302</v>
      </c>
      <c r="B355" s="48"/>
      <c r="C355" s="48"/>
      <c r="D355" s="48"/>
      <c r="E355" s="49"/>
      <c r="F355" s="50" t="s">
        <v>183</v>
      </c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2"/>
      <c r="U355" t="s">
        <v>320</v>
      </c>
      <c r="W355" t="s">
        <v>321</v>
      </c>
      <c r="X355" t="s">
        <v>322</v>
      </c>
      <c r="Y355" t="s">
        <v>323</v>
      </c>
      <c r="AA355" s="16" t="s">
        <v>167</v>
      </c>
      <c r="AB355" s="16" t="s">
        <v>168</v>
      </c>
      <c r="AC355" s="16" t="s">
        <v>131</v>
      </c>
      <c r="AD355" s="16" t="s">
        <v>253</v>
      </c>
    </row>
    <row r="356" spans="1:32" ht="18" customHeight="1">
      <c r="A356" s="12">
        <v>1</v>
      </c>
      <c r="B356" s="47" t="s">
        <v>187</v>
      </c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9"/>
      <c r="AA356" s="27" t="s">
        <v>188</v>
      </c>
      <c r="AB356" s="27" t="s">
        <v>189</v>
      </c>
      <c r="AC356" s="27" t="s">
        <v>190</v>
      </c>
    </row>
    <row r="357" spans="1:32" ht="18" customHeight="1">
      <c r="A357" s="23">
        <v>2</v>
      </c>
      <c r="B357" s="53" t="s">
        <v>191</v>
      </c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5"/>
      <c r="U357" t="s">
        <v>192</v>
      </c>
      <c r="V357" s="16" t="s">
        <v>193</v>
      </c>
      <c r="W357" t="s">
        <v>194</v>
      </c>
      <c r="Y357" t="s">
        <v>195</v>
      </c>
      <c r="AA357" s="16" t="s">
        <v>173</v>
      </c>
      <c r="AB357" s="16" t="s">
        <v>174</v>
      </c>
      <c r="AC357" s="16" t="s">
        <v>139</v>
      </c>
      <c r="AD357" s="16" t="s">
        <v>196</v>
      </c>
    </row>
    <row r="358" spans="1:32" ht="18" customHeight="1">
      <c r="A358" s="23">
        <v>3</v>
      </c>
      <c r="B358" s="47" t="s">
        <v>197</v>
      </c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9"/>
      <c r="V358" s="16" t="s">
        <v>198</v>
      </c>
      <c r="X358" s="16" t="s">
        <v>199</v>
      </c>
      <c r="Y358" t="s">
        <v>200</v>
      </c>
      <c r="AA358" s="16" t="s">
        <v>179</v>
      </c>
      <c r="AB358" s="16" t="s">
        <v>180</v>
      </c>
      <c r="AC358" s="16" t="s">
        <v>147</v>
      </c>
      <c r="AD358" s="16" t="s">
        <v>201</v>
      </c>
    </row>
    <row r="359" spans="1:32" ht="18" customHeight="1">
      <c r="A359" s="37" t="s">
        <v>202</v>
      </c>
      <c r="B359" s="38"/>
      <c r="C359" s="39">
        <f>C29</f>
        <v>0</v>
      </c>
      <c r="D359" s="39"/>
      <c r="E359" s="37" t="s">
        <v>203</v>
      </c>
      <c r="F359" s="40"/>
      <c r="G359" s="41">
        <f>G29</f>
        <v>0</v>
      </c>
      <c r="H359" s="42"/>
      <c r="I359" s="42"/>
      <c r="J359" s="42"/>
      <c r="K359" s="28" t="s">
        <v>204</v>
      </c>
      <c r="L359" s="43" t="s">
        <v>205</v>
      </c>
      <c r="M359" s="43"/>
      <c r="N359" s="43"/>
      <c r="O359" s="43"/>
      <c r="P359" s="43"/>
      <c r="Q359" s="43"/>
      <c r="R359" s="43"/>
      <c r="U359" t="s">
        <v>206</v>
      </c>
      <c r="W359" s="16" t="s">
        <v>207</v>
      </c>
      <c r="X359" s="16" t="s">
        <v>208</v>
      </c>
    </row>
    <row r="360" spans="1:32" ht="18" customHeight="1">
      <c r="A360" s="37" t="s">
        <v>209</v>
      </c>
      <c r="B360" s="38"/>
      <c r="C360" s="39">
        <f>C30</f>
        <v>0</v>
      </c>
      <c r="D360" s="39"/>
      <c r="E360" s="37" t="s">
        <v>210</v>
      </c>
      <c r="F360" s="40"/>
      <c r="G360" s="41">
        <f>G30</f>
        <v>0</v>
      </c>
      <c r="H360" s="42"/>
      <c r="I360" s="42"/>
      <c r="J360" s="42"/>
      <c r="K360" s="28" t="s">
        <v>204</v>
      </c>
      <c r="L360" s="43" t="s">
        <v>205</v>
      </c>
      <c r="M360" s="43"/>
      <c r="N360" s="43"/>
      <c r="O360" s="43"/>
      <c r="P360" s="43"/>
      <c r="Q360" s="43"/>
      <c r="R360" s="43"/>
      <c r="V360" s="16" t="s">
        <v>211</v>
      </c>
      <c r="W360" s="16" t="s">
        <v>212</v>
      </c>
      <c r="Y360" t="s">
        <v>213</v>
      </c>
      <c r="AA360" s="16" t="s">
        <v>214</v>
      </c>
      <c r="AB360" s="16" t="s">
        <v>214</v>
      </c>
      <c r="AC360" s="16" t="s">
        <v>215</v>
      </c>
      <c r="AD360" s="16" t="s">
        <v>216</v>
      </c>
    </row>
    <row r="361" spans="1:32" ht="48" customHeight="1">
      <c r="A361" s="69" t="s">
        <v>0</v>
      </c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1" t="s">
        <v>1</v>
      </c>
      <c r="M361" s="71"/>
      <c r="N361" s="71"/>
      <c r="O361" s="71"/>
      <c r="P361" s="71"/>
      <c r="Q361" s="1" t="s">
        <v>2</v>
      </c>
      <c r="R361" s="2" t="s">
        <v>3</v>
      </c>
      <c r="S361" s="3"/>
      <c r="T361" s="3" t="s">
        <v>4</v>
      </c>
      <c r="U361" s="4" t="s">
        <v>5</v>
      </c>
      <c r="V361" s="4" t="s">
        <v>6</v>
      </c>
      <c r="W361" s="4" t="s">
        <v>7</v>
      </c>
      <c r="X361" s="4" t="s">
        <v>8</v>
      </c>
      <c r="Y361" s="4" t="s">
        <v>9</v>
      </c>
      <c r="Z361" s="4"/>
      <c r="AA361" s="4" t="s">
        <v>10</v>
      </c>
      <c r="AB361" s="4" t="s">
        <v>11</v>
      </c>
      <c r="AC361" s="4" t="s">
        <v>12</v>
      </c>
      <c r="AD361" s="4" t="s">
        <v>13</v>
      </c>
      <c r="AE361" s="4" t="s">
        <v>14</v>
      </c>
      <c r="AF361" s="4" t="s">
        <v>15</v>
      </c>
    </row>
    <row r="362" spans="1:32" s="8" customFormat="1" ht="18" customHeight="1">
      <c r="A362" s="5" t="s">
        <v>16</v>
      </c>
      <c r="B362" s="44">
        <f>B2</f>
        <v>0</v>
      </c>
      <c r="C362" s="45"/>
      <c r="D362" s="45"/>
      <c r="E362" s="6" t="str">
        <f>E2</f>
        <v>Version:1</v>
      </c>
      <c r="F362" s="72" t="s">
        <v>18</v>
      </c>
      <c r="G362" s="74" t="s">
        <v>19</v>
      </c>
      <c r="H362" s="74" t="s">
        <v>20</v>
      </c>
      <c r="I362" s="77" t="s">
        <v>21</v>
      </c>
      <c r="J362" s="62" t="s">
        <v>22</v>
      </c>
      <c r="K362" s="79" t="s">
        <v>23</v>
      </c>
      <c r="L362" s="62" t="s">
        <v>24</v>
      </c>
      <c r="M362" s="56" t="s">
        <v>25</v>
      </c>
      <c r="N362" s="59" t="s">
        <v>26</v>
      </c>
      <c r="O362" s="62" t="s">
        <v>27</v>
      </c>
      <c r="P362" s="65" t="s">
        <v>28</v>
      </c>
      <c r="Q362" s="66" t="s">
        <v>29</v>
      </c>
      <c r="R362" s="68" t="s">
        <v>30</v>
      </c>
      <c r="S362"/>
      <c r="T362" s="7" t="str">
        <f>IF(C395&gt;18,IF(C395=20,Nennweite20,IF(C395=60,U364,IF(C395=50,Nennweite50,IF(C395=25,Nennweite25,IF(C395=32,Nennweite32,IF(C395=40,Nennweite40,"&gt;")))))),IF(C395=8,Nennweite8,IF(C395=6,Nennweite6,IF(C395=10,Nennweite10,IF(C395=18,Nennweite18,IF(C395=16,Nennweite16,IF(C395=12,Nennweite12,"")))))))</f>
        <v/>
      </c>
      <c r="U362" t="s">
        <v>31</v>
      </c>
      <c r="V362" t="s">
        <v>32</v>
      </c>
      <c r="W362" t="s">
        <v>33</v>
      </c>
      <c r="X362" t="s">
        <v>34</v>
      </c>
      <c r="Y362" t="s">
        <v>35</v>
      </c>
      <c r="Z362"/>
      <c r="AA362" t="s">
        <v>36</v>
      </c>
      <c r="AB362" t="s">
        <v>37</v>
      </c>
      <c r="AC362" t="s">
        <v>38</v>
      </c>
      <c r="AD362" t="s">
        <v>39</v>
      </c>
      <c r="AE362" t="s">
        <v>40</v>
      </c>
      <c r="AF362" t="s">
        <v>41</v>
      </c>
    </row>
    <row r="363" spans="1:32" ht="18" customHeight="1">
      <c r="A363" s="5" t="s">
        <v>42</v>
      </c>
      <c r="B363" s="44">
        <f>B3</f>
        <v>0</v>
      </c>
      <c r="C363" s="45"/>
      <c r="D363" s="45"/>
      <c r="E363" s="46"/>
      <c r="F363" s="72"/>
      <c r="G363" s="75"/>
      <c r="H363" s="75"/>
      <c r="I363" s="77"/>
      <c r="J363" s="63"/>
      <c r="K363" s="80"/>
      <c r="L363" s="63"/>
      <c r="M363" s="57"/>
      <c r="N363" s="60"/>
      <c r="O363" s="63"/>
      <c r="P363" s="63"/>
      <c r="Q363" s="66"/>
      <c r="R363" s="66"/>
      <c r="U363" t="s">
        <v>43</v>
      </c>
      <c r="V363" t="s">
        <v>44</v>
      </c>
      <c r="W363" t="s">
        <v>45</v>
      </c>
      <c r="X363" t="s">
        <v>46</v>
      </c>
      <c r="Y363" t="s">
        <v>47</v>
      </c>
      <c r="AA363" t="s">
        <v>48</v>
      </c>
      <c r="AB363" t="s">
        <v>49</v>
      </c>
      <c r="AC363" t="s">
        <v>50</v>
      </c>
      <c r="AD363" t="s">
        <v>51</v>
      </c>
      <c r="AE363" t="s">
        <v>52</v>
      </c>
      <c r="AF363" t="s">
        <v>53</v>
      </c>
    </row>
    <row r="364" spans="1:32" ht="18" customHeight="1" thickBot="1">
      <c r="A364" s="9" t="s">
        <v>54</v>
      </c>
      <c r="B364" s="10" t="s">
        <v>55</v>
      </c>
      <c r="C364" s="10" t="s">
        <v>56</v>
      </c>
      <c r="D364" s="11" t="s">
        <v>57</v>
      </c>
      <c r="E364" s="9" t="s">
        <v>58</v>
      </c>
      <c r="F364" s="73"/>
      <c r="G364" s="76"/>
      <c r="H364" s="76"/>
      <c r="I364" s="78"/>
      <c r="J364" s="64"/>
      <c r="K364" s="81"/>
      <c r="L364" s="64"/>
      <c r="M364" s="58"/>
      <c r="N364" s="61"/>
      <c r="O364" s="64"/>
      <c r="P364" s="64"/>
      <c r="Q364" s="67"/>
      <c r="R364" s="67"/>
      <c r="U364" t="s">
        <v>59</v>
      </c>
      <c r="V364" t="s">
        <v>60</v>
      </c>
      <c r="W364" t="s">
        <v>61</v>
      </c>
      <c r="X364" t="s">
        <v>62</v>
      </c>
      <c r="Y364" t="s">
        <v>63</v>
      </c>
      <c r="AA364" t="s">
        <v>64</v>
      </c>
      <c r="AB364" t="s">
        <v>65</v>
      </c>
      <c r="AC364" t="s">
        <v>66</v>
      </c>
      <c r="AD364" t="s">
        <v>67</v>
      </c>
      <c r="AE364" t="s">
        <v>68</v>
      </c>
      <c r="AF364" t="s">
        <v>69</v>
      </c>
    </row>
    <row r="365" spans="1:32" ht="22.15" customHeight="1">
      <c r="A365" s="12">
        <v>241</v>
      </c>
      <c r="B365" s="13"/>
      <c r="C365" s="13"/>
      <c r="D365" s="13"/>
      <c r="E365" s="13"/>
      <c r="F365" s="14"/>
      <c r="G365" s="15"/>
      <c r="H365" s="15"/>
      <c r="I365" s="24"/>
      <c r="J365" s="17"/>
      <c r="K365" s="18"/>
      <c r="L365" s="19"/>
      <c r="M365" s="31"/>
      <c r="N365" s="21"/>
      <c r="O365" s="30"/>
      <c r="P365" s="30"/>
      <c r="Q365" s="23"/>
      <c r="R365" s="24"/>
      <c r="U365" t="s">
        <v>70</v>
      </c>
      <c r="V365" t="s">
        <v>71</v>
      </c>
      <c r="W365" t="s">
        <v>72</v>
      </c>
      <c r="X365" t="s">
        <v>73</v>
      </c>
      <c r="Y365" t="s">
        <v>74</v>
      </c>
      <c r="AA365" t="s">
        <v>75</v>
      </c>
      <c r="AB365" t="s">
        <v>76</v>
      </c>
      <c r="AC365" t="s">
        <v>77</v>
      </c>
      <c r="AD365" t="s">
        <v>78</v>
      </c>
      <c r="AE365" t="s">
        <v>79</v>
      </c>
    </row>
    <row r="366" spans="1:32" ht="22.15" customHeight="1">
      <c r="A366" s="12">
        <v>242</v>
      </c>
      <c r="B366" s="13"/>
      <c r="C366" s="13"/>
      <c r="D366" s="13"/>
      <c r="E366" s="13"/>
      <c r="F366" s="14"/>
      <c r="G366" s="15"/>
      <c r="H366" s="15"/>
      <c r="I366" s="24"/>
      <c r="J366" s="17"/>
      <c r="K366" s="18"/>
      <c r="L366" s="19"/>
      <c r="M366" s="31"/>
      <c r="N366" s="21"/>
      <c r="O366" s="30"/>
      <c r="P366" s="30"/>
      <c r="Q366" s="23"/>
      <c r="R366" s="24"/>
      <c r="U366" t="s">
        <v>80</v>
      </c>
      <c r="X366" t="s">
        <v>81</v>
      </c>
      <c r="Y366" t="s">
        <v>82</v>
      </c>
      <c r="AA366" t="s">
        <v>83</v>
      </c>
      <c r="AB366" t="s">
        <v>84</v>
      </c>
      <c r="AC366" t="s">
        <v>85</v>
      </c>
      <c r="AD366" t="s">
        <v>86</v>
      </c>
      <c r="AE366" t="s">
        <v>87</v>
      </c>
    </row>
    <row r="367" spans="1:32" ht="22.15" customHeight="1">
      <c r="A367" s="12">
        <v>243</v>
      </c>
      <c r="B367" s="13"/>
      <c r="C367" s="13"/>
      <c r="D367" s="13"/>
      <c r="E367" s="13"/>
      <c r="F367" s="14"/>
      <c r="G367" s="15"/>
      <c r="H367" s="15"/>
      <c r="I367" s="24"/>
      <c r="J367" s="17"/>
      <c r="K367" s="18"/>
      <c r="L367" s="19"/>
      <c r="M367" s="31"/>
      <c r="N367" s="21"/>
      <c r="O367" s="30"/>
      <c r="P367" s="30"/>
      <c r="Q367" s="23"/>
      <c r="R367" s="24"/>
      <c r="U367" t="s">
        <v>88</v>
      </c>
      <c r="V367" t="s">
        <v>89</v>
      </c>
      <c r="W367" t="s">
        <v>90</v>
      </c>
      <c r="X367" t="s">
        <v>91</v>
      </c>
      <c r="Y367" t="s">
        <v>92</v>
      </c>
      <c r="AA367" t="s">
        <v>93</v>
      </c>
      <c r="AB367" t="s">
        <v>94</v>
      </c>
      <c r="AC367" t="s">
        <v>95</v>
      </c>
      <c r="AD367" t="s">
        <v>96</v>
      </c>
      <c r="AE367" t="s">
        <v>97</v>
      </c>
    </row>
    <row r="368" spans="1:32" ht="22.15" customHeight="1">
      <c r="A368" s="12">
        <v>244</v>
      </c>
      <c r="B368" s="12"/>
      <c r="C368" s="13"/>
      <c r="D368" s="13"/>
      <c r="E368" s="13"/>
      <c r="F368" s="14"/>
      <c r="G368" s="15"/>
      <c r="H368" s="15"/>
      <c r="I368" s="24"/>
      <c r="J368" s="17"/>
      <c r="K368" s="18"/>
      <c r="L368" s="19"/>
      <c r="M368" s="31"/>
      <c r="N368" s="21"/>
      <c r="O368" s="30"/>
      <c r="P368" s="30"/>
      <c r="Q368" s="23"/>
      <c r="R368" s="24"/>
      <c r="V368" t="s">
        <v>98</v>
      </c>
      <c r="W368" t="s">
        <v>99</v>
      </c>
    </row>
    <row r="369" spans="1:31" ht="22.15" customHeight="1">
      <c r="A369" s="12">
        <v>245</v>
      </c>
      <c r="B369" s="12"/>
      <c r="C369" s="13"/>
      <c r="D369" s="13"/>
      <c r="E369" s="13"/>
      <c r="F369" s="14"/>
      <c r="G369" s="15"/>
      <c r="H369" s="15"/>
      <c r="I369" s="24"/>
      <c r="J369" s="17"/>
      <c r="K369" s="18"/>
      <c r="L369" s="19"/>
      <c r="M369" s="31"/>
      <c r="N369" s="21"/>
      <c r="O369" s="30"/>
      <c r="P369" s="30"/>
      <c r="Q369" s="23"/>
      <c r="R369" s="24"/>
      <c r="U369" t="s">
        <v>100</v>
      </c>
      <c r="V369" t="s">
        <v>101</v>
      </c>
      <c r="W369" t="s">
        <v>102</v>
      </c>
      <c r="X369" t="s">
        <v>103</v>
      </c>
      <c r="Y369" t="s">
        <v>103</v>
      </c>
      <c r="AA369" t="s">
        <v>104</v>
      </c>
      <c r="AB369" t="s">
        <v>105</v>
      </c>
      <c r="AC369" t="s">
        <v>106</v>
      </c>
      <c r="AD369" t="s">
        <v>40</v>
      </c>
      <c r="AE369" t="s">
        <v>107</v>
      </c>
    </row>
    <row r="370" spans="1:31" ht="22.15" customHeight="1">
      <c r="A370" s="12">
        <v>246</v>
      </c>
      <c r="B370" s="12"/>
      <c r="C370" s="13"/>
      <c r="D370" s="13"/>
      <c r="E370" s="13"/>
      <c r="F370" s="14"/>
      <c r="G370" s="15"/>
      <c r="H370" s="15"/>
      <c r="I370" s="24"/>
      <c r="J370" s="17"/>
      <c r="K370" s="18"/>
      <c r="L370" s="19"/>
      <c r="M370" s="31"/>
      <c r="N370" s="21"/>
      <c r="O370" s="30"/>
      <c r="P370" s="30"/>
      <c r="Q370" s="23"/>
      <c r="R370" s="24"/>
      <c r="X370" t="s">
        <v>108</v>
      </c>
      <c r="Y370" t="s">
        <v>108</v>
      </c>
      <c r="AA370" t="s">
        <v>109</v>
      </c>
      <c r="AB370" t="s">
        <v>110</v>
      </c>
      <c r="AC370" t="s">
        <v>111</v>
      </c>
      <c r="AD370" t="s">
        <v>52</v>
      </c>
    </row>
    <row r="371" spans="1:31" ht="22.15" customHeight="1">
      <c r="A371" s="12">
        <v>247</v>
      </c>
      <c r="B371" s="12"/>
      <c r="C371" s="13"/>
      <c r="D371" s="13"/>
      <c r="E371" s="13"/>
      <c r="F371" s="14"/>
      <c r="G371" s="15"/>
      <c r="H371" s="15"/>
      <c r="I371" s="24"/>
      <c r="J371" s="17"/>
      <c r="K371" s="18"/>
      <c r="L371" s="19"/>
      <c r="M371" s="31"/>
      <c r="N371" s="21"/>
      <c r="O371" s="30"/>
      <c r="P371" s="30"/>
      <c r="Q371" s="23"/>
      <c r="R371" s="24"/>
      <c r="U371" t="s">
        <v>112</v>
      </c>
      <c r="V371" t="s">
        <v>113</v>
      </c>
      <c r="W371" t="s">
        <v>114</v>
      </c>
      <c r="X371" t="s">
        <v>115</v>
      </c>
      <c r="Y371" t="s">
        <v>116</v>
      </c>
      <c r="AA371" t="s">
        <v>117</v>
      </c>
      <c r="AB371" t="s">
        <v>118</v>
      </c>
      <c r="AC371" t="s">
        <v>119</v>
      </c>
      <c r="AD371" t="s">
        <v>68</v>
      </c>
      <c r="AE371" t="s">
        <v>120</v>
      </c>
    </row>
    <row r="372" spans="1:31" ht="22.15" customHeight="1">
      <c r="A372" s="12">
        <v>248</v>
      </c>
      <c r="B372" s="12"/>
      <c r="C372" s="13"/>
      <c r="D372" s="13"/>
      <c r="E372" s="13"/>
      <c r="F372" s="14"/>
      <c r="G372" s="15"/>
      <c r="H372" s="15"/>
      <c r="I372" s="24"/>
      <c r="J372" s="17"/>
      <c r="K372" s="18"/>
      <c r="L372" s="19"/>
      <c r="M372" s="31"/>
      <c r="N372" s="21"/>
      <c r="O372" s="30"/>
      <c r="P372" s="30"/>
      <c r="Q372" s="23"/>
      <c r="R372" s="24"/>
      <c r="V372" t="s">
        <v>121</v>
      </c>
      <c r="W372" t="s">
        <v>122</v>
      </c>
      <c r="AE372" t="s">
        <v>123</v>
      </c>
    </row>
    <row r="373" spans="1:31" ht="22.15" customHeight="1">
      <c r="A373" s="12">
        <v>249</v>
      </c>
      <c r="B373" s="12"/>
      <c r="C373" s="13"/>
      <c r="D373" s="13"/>
      <c r="E373" s="13"/>
      <c r="F373" s="14"/>
      <c r="G373" s="15"/>
      <c r="H373" s="15"/>
      <c r="I373" s="24"/>
      <c r="J373" s="17"/>
      <c r="K373" s="18"/>
      <c r="L373" s="19"/>
      <c r="M373" s="31"/>
      <c r="N373" s="21"/>
      <c r="O373" s="30"/>
      <c r="P373" s="30"/>
      <c r="Q373" s="23"/>
      <c r="R373" s="24"/>
      <c r="U373" t="s">
        <v>124</v>
      </c>
      <c r="V373" t="s">
        <v>125</v>
      </c>
      <c r="W373" t="s">
        <v>126</v>
      </c>
      <c r="X373" t="s">
        <v>127</v>
      </c>
      <c r="Y373" t="s">
        <v>128</v>
      </c>
      <c r="AA373" t="s">
        <v>128</v>
      </c>
      <c r="AB373" t="s">
        <v>129</v>
      </c>
      <c r="AC373" t="s">
        <v>130</v>
      </c>
      <c r="AD373" t="s">
        <v>131</v>
      </c>
      <c r="AE373" t="s">
        <v>132</v>
      </c>
    </row>
    <row r="374" spans="1:31" ht="22.15" customHeight="1">
      <c r="A374" s="12">
        <v>250</v>
      </c>
      <c r="B374" s="12"/>
      <c r="C374" s="13"/>
      <c r="D374" s="13"/>
      <c r="E374" s="13"/>
      <c r="F374" s="14"/>
      <c r="G374" s="15"/>
      <c r="H374" s="15"/>
      <c r="I374" s="24"/>
      <c r="J374" s="17"/>
      <c r="K374" s="18"/>
      <c r="L374" s="19"/>
      <c r="M374" s="31"/>
      <c r="N374" s="21"/>
      <c r="O374" s="30"/>
      <c r="P374" s="30"/>
      <c r="Q374" s="23"/>
      <c r="R374" s="24"/>
      <c r="U374" t="s">
        <v>134</v>
      </c>
      <c r="X374" t="s">
        <v>135</v>
      </c>
      <c r="Y374" t="s">
        <v>136</v>
      </c>
      <c r="AA374" t="s">
        <v>136</v>
      </c>
      <c r="AB374" t="s">
        <v>137</v>
      </c>
      <c r="AC374" t="s">
        <v>138</v>
      </c>
      <c r="AD374" t="s">
        <v>139</v>
      </c>
    </row>
    <row r="375" spans="1:31" ht="22.15" customHeight="1">
      <c r="A375" s="12">
        <v>251</v>
      </c>
      <c r="B375" s="12"/>
      <c r="C375" s="13"/>
      <c r="D375" s="13"/>
      <c r="E375" s="13"/>
      <c r="F375" s="14"/>
      <c r="G375" s="15"/>
      <c r="H375" s="15"/>
      <c r="I375" s="24"/>
      <c r="J375" s="17"/>
      <c r="K375" s="18"/>
      <c r="L375" s="19"/>
      <c r="M375" s="31"/>
      <c r="N375" s="21"/>
      <c r="O375" s="30"/>
      <c r="P375" s="30"/>
      <c r="Q375" s="23"/>
      <c r="R375" s="24"/>
      <c r="U375" t="s">
        <v>140</v>
      </c>
      <c r="V375" t="s">
        <v>141</v>
      </c>
      <c r="W375" t="s">
        <v>142</v>
      </c>
      <c r="X375" t="s">
        <v>143</v>
      </c>
      <c r="Y375" t="s">
        <v>144</v>
      </c>
      <c r="AA375" t="s">
        <v>144</v>
      </c>
      <c r="AB375" t="s">
        <v>145</v>
      </c>
      <c r="AC375" t="s">
        <v>146</v>
      </c>
      <c r="AD375" t="s">
        <v>147</v>
      </c>
    </row>
    <row r="376" spans="1:31" ht="22.15" customHeight="1">
      <c r="A376" s="12">
        <v>252</v>
      </c>
      <c r="B376" s="12"/>
      <c r="C376" s="13"/>
      <c r="D376" s="13"/>
      <c r="E376" s="13"/>
      <c r="F376" s="14"/>
      <c r="G376" s="15"/>
      <c r="H376" s="15"/>
      <c r="I376" s="24"/>
      <c r="J376" s="17"/>
      <c r="K376" s="18"/>
      <c r="L376" s="19"/>
      <c r="M376" s="31"/>
      <c r="N376" s="21"/>
      <c r="O376" s="30"/>
      <c r="P376" s="30"/>
      <c r="Q376" s="23"/>
      <c r="R376" s="24"/>
      <c r="V376" t="s">
        <v>148</v>
      </c>
    </row>
    <row r="377" spans="1:31" ht="22.15" customHeight="1">
      <c r="A377" s="12">
        <v>253</v>
      </c>
      <c r="B377" s="12"/>
      <c r="C377" s="13"/>
      <c r="D377" s="13"/>
      <c r="E377" s="13"/>
      <c r="F377" s="14"/>
      <c r="G377" s="15"/>
      <c r="H377" s="15"/>
      <c r="I377" s="24"/>
      <c r="J377" s="17"/>
      <c r="K377" s="18"/>
      <c r="L377" s="19"/>
      <c r="M377" s="31"/>
      <c r="N377" s="21"/>
      <c r="O377" s="30"/>
      <c r="P377" s="30"/>
      <c r="Q377" s="23"/>
      <c r="R377" s="24"/>
      <c r="U377" t="s">
        <v>149</v>
      </c>
      <c r="W377" t="s">
        <v>150</v>
      </c>
      <c r="X377" t="s">
        <v>151</v>
      </c>
      <c r="Y377" t="s">
        <v>127</v>
      </c>
      <c r="AA377" t="s">
        <v>129</v>
      </c>
      <c r="AB377" t="s">
        <v>130</v>
      </c>
      <c r="AC377" t="s">
        <v>78</v>
      </c>
      <c r="AD377" t="s">
        <v>152</v>
      </c>
    </row>
    <row r="378" spans="1:31" ht="22.15" customHeight="1">
      <c r="A378" s="12">
        <v>254</v>
      </c>
      <c r="B378" s="12"/>
      <c r="C378" s="13"/>
      <c r="D378" s="13"/>
      <c r="E378" s="13"/>
      <c r="F378" s="14"/>
      <c r="G378" s="15"/>
      <c r="H378" s="15"/>
      <c r="I378" s="24"/>
      <c r="J378" s="17"/>
      <c r="K378" s="18"/>
      <c r="L378" s="19"/>
      <c r="M378" s="31"/>
      <c r="N378" s="21"/>
      <c r="O378" s="30"/>
      <c r="P378" s="30"/>
      <c r="Q378" s="23"/>
      <c r="R378" s="24"/>
      <c r="U378" t="s">
        <v>153</v>
      </c>
      <c r="V378" t="s">
        <v>154</v>
      </c>
      <c r="W378" t="s">
        <v>155</v>
      </c>
      <c r="X378" t="s">
        <v>156</v>
      </c>
      <c r="Y378" t="s">
        <v>135</v>
      </c>
      <c r="AA378" t="s">
        <v>137</v>
      </c>
      <c r="AB378" t="s">
        <v>138</v>
      </c>
      <c r="AC378" t="s">
        <v>86</v>
      </c>
      <c r="AD378" t="s">
        <v>157</v>
      </c>
    </row>
    <row r="379" spans="1:31" ht="22.15" customHeight="1">
      <c r="A379" s="12">
        <v>255</v>
      </c>
      <c r="B379" s="12"/>
      <c r="C379" s="13"/>
      <c r="D379" s="13"/>
      <c r="E379" s="13"/>
      <c r="F379" s="14"/>
      <c r="G379" s="15"/>
      <c r="H379" s="15"/>
      <c r="I379" s="24"/>
      <c r="J379" s="17"/>
      <c r="K379" s="18"/>
      <c r="L379" s="19"/>
      <c r="M379" s="31"/>
      <c r="N379" s="21"/>
      <c r="O379" s="30"/>
      <c r="P379" s="30"/>
      <c r="Q379" s="23"/>
      <c r="R379" s="24"/>
      <c r="U379" t="s">
        <v>158</v>
      </c>
      <c r="V379" t="s">
        <v>159</v>
      </c>
      <c r="X379" t="s">
        <v>160</v>
      </c>
      <c r="Y379" t="s">
        <v>143</v>
      </c>
      <c r="AA379" t="s">
        <v>145</v>
      </c>
      <c r="AB379" t="s">
        <v>146</v>
      </c>
      <c r="AC379" t="s">
        <v>96</v>
      </c>
      <c r="AD379" t="s">
        <v>161</v>
      </c>
    </row>
    <row r="380" spans="1:31" ht="22.15" customHeight="1">
      <c r="A380" s="12">
        <v>256</v>
      </c>
      <c r="B380" s="12"/>
      <c r="C380" s="13"/>
      <c r="D380" s="13"/>
      <c r="E380" s="13"/>
      <c r="F380" s="14"/>
      <c r="G380" s="15"/>
      <c r="H380" s="15"/>
      <c r="I380" s="24"/>
      <c r="J380" s="17"/>
      <c r="K380" s="18"/>
      <c r="L380" s="19"/>
      <c r="M380" s="31"/>
      <c r="N380" s="21"/>
      <c r="O380" s="30"/>
      <c r="P380" s="30"/>
      <c r="Q380" s="23"/>
      <c r="R380" s="24"/>
      <c r="V380" t="s">
        <v>162</v>
      </c>
      <c r="W380" t="s">
        <v>163</v>
      </c>
    </row>
    <row r="381" spans="1:31" ht="22.15" customHeight="1">
      <c r="A381" s="12">
        <v>257</v>
      </c>
      <c r="B381" s="12"/>
      <c r="C381" s="13"/>
      <c r="D381" s="13"/>
      <c r="E381" s="13"/>
      <c r="F381" s="14"/>
      <c r="G381" s="15"/>
      <c r="H381" s="15"/>
      <c r="I381" s="24"/>
      <c r="J381" s="17"/>
      <c r="K381" s="18"/>
      <c r="L381" s="19"/>
      <c r="M381" s="31"/>
      <c r="N381" s="21"/>
      <c r="O381" s="30"/>
      <c r="P381" s="30"/>
      <c r="Q381" s="23"/>
      <c r="R381" s="24"/>
      <c r="U381" t="s">
        <v>164</v>
      </c>
      <c r="W381" t="s">
        <v>165</v>
      </c>
      <c r="X381" t="s">
        <v>166</v>
      </c>
      <c r="Y381" t="s">
        <v>151</v>
      </c>
      <c r="AA381" t="s">
        <v>151</v>
      </c>
      <c r="AB381" t="s">
        <v>167</v>
      </c>
      <c r="AC381" t="s">
        <v>168</v>
      </c>
      <c r="AD381" t="s">
        <v>169</v>
      </c>
    </row>
    <row r="382" spans="1:31" ht="22.15" customHeight="1">
      <c r="A382" s="12">
        <v>258</v>
      </c>
      <c r="B382" s="12"/>
      <c r="C382" s="13"/>
      <c r="D382" s="13"/>
      <c r="E382" s="13"/>
      <c r="F382" s="14"/>
      <c r="G382" s="15"/>
      <c r="H382" s="15"/>
      <c r="I382" s="24"/>
      <c r="J382" s="17"/>
      <c r="K382" s="18"/>
      <c r="L382" s="19"/>
      <c r="M382" s="31"/>
      <c r="N382" s="21"/>
      <c r="O382" s="30"/>
      <c r="P382" s="30"/>
      <c r="Q382" s="23"/>
      <c r="R382" s="24"/>
      <c r="U382" t="s">
        <v>170</v>
      </c>
      <c r="V382" t="s">
        <v>171</v>
      </c>
      <c r="W382" t="s">
        <v>172</v>
      </c>
      <c r="Y382" t="s">
        <v>156</v>
      </c>
      <c r="AA382" t="s">
        <v>156</v>
      </c>
      <c r="AB382" t="s">
        <v>173</v>
      </c>
      <c r="AC382" t="s">
        <v>174</v>
      </c>
      <c r="AD382" t="s">
        <v>175</v>
      </c>
    </row>
    <row r="383" spans="1:31" ht="22.15" customHeight="1">
      <c r="A383" s="12">
        <v>259</v>
      </c>
      <c r="B383" s="12"/>
      <c r="C383" s="13"/>
      <c r="D383" s="13"/>
      <c r="E383" s="13"/>
      <c r="F383" s="14"/>
      <c r="G383" s="15"/>
      <c r="H383" s="15"/>
      <c r="I383" s="24"/>
      <c r="J383" s="17"/>
      <c r="K383" s="18"/>
      <c r="L383" s="19"/>
      <c r="M383" s="31"/>
      <c r="N383" s="21"/>
      <c r="O383" s="30"/>
      <c r="P383" s="30"/>
      <c r="Q383" s="23"/>
      <c r="R383" s="24"/>
      <c r="U383" t="s">
        <v>176</v>
      </c>
      <c r="V383" t="s">
        <v>177</v>
      </c>
      <c r="X383" t="s">
        <v>178</v>
      </c>
      <c r="Y383" t="s">
        <v>160</v>
      </c>
      <c r="AA383" t="s">
        <v>160</v>
      </c>
      <c r="AB383" t="s">
        <v>179</v>
      </c>
      <c r="AC383" t="s">
        <v>180</v>
      </c>
      <c r="AD383" t="s">
        <v>181</v>
      </c>
    </row>
    <row r="384" spans="1:31" ht="22.15" customHeight="1">
      <c r="A384" s="12">
        <v>260</v>
      </c>
      <c r="B384" s="12"/>
      <c r="C384" s="13"/>
      <c r="D384" s="13"/>
      <c r="E384" s="13"/>
      <c r="F384" s="14"/>
      <c r="G384" s="15"/>
      <c r="H384" s="15"/>
      <c r="I384" s="24"/>
      <c r="J384" s="17"/>
      <c r="K384" s="18"/>
      <c r="L384" s="19"/>
      <c r="M384" s="31"/>
      <c r="N384" s="21"/>
      <c r="O384" s="30"/>
      <c r="P384" s="30"/>
      <c r="Q384" s="23"/>
      <c r="R384" s="24"/>
      <c r="V384" t="s">
        <v>184</v>
      </c>
      <c r="W384" t="s">
        <v>185</v>
      </c>
      <c r="X384" t="s">
        <v>186</v>
      </c>
    </row>
    <row r="385" spans="1:32" ht="18" customHeight="1">
      <c r="A385" s="47" t="s">
        <v>302</v>
      </c>
      <c r="B385" s="48"/>
      <c r="C385" s="48"/>
      <c r="D385" s="48"/>
      <c r="E385" s="49"/>
      <c r="F385" s="50" t="s">
        <v>183</v>
      </c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2"/>
      <c r="U385" t="s">
        <v>320</v>
      </c>
      <c r="W385" t="s">
        <v>321</v>
      </c>
      <c r="X385" t="s">
        <v>322</v>
      </c>
      <c r="Y385" t="s">
        <v>323</v>
      </c>
      <c r="AA385" s="16" t="s">
        <v>167</v>
      </c>
      <c r="AB385" s="16" t="s">
        <v>168</v>
      </c>
      <c r="AC385" s="16" t="s">
        <v>131</v>
      </c>
      <c r="AD385" s="16" t="s">
        <v>253</v>
      </c>
    </row>
    <row r="386" spans="1:32" ht="18" customHeight="1">
      <c r="A386" s="12">
        <v>1</v>
      </c>
      <c r="B386" s="47" t="s">
        <v>187</v>
      </c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9"/>
      <c r="AA386" s="27" t="s">
        <v>188</v>
      </c>
      <c r="AB386" s="27" t="s">
        <v>189</v>
      </c>
      <c r="AC386" s="27" t="s">
        <v>190</v>
      </c>
    </row>
    <row r="387" spans="1:32" ht="18" customHeight="1">
      <c r="A387" s="23">
        <v>2</v>
      </c>
      <c r="B387" s="53" t="s">
        <v>191</v>
      </c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5"/>
      <c r="U387" t="s">
        <v>192</v>
      </c>
      <c r="V387" s="16" t="s">
        <v>193</v>
      </c>
      <c r="W387" t="s">
        <v>194</v>
      </c>
      <c r="Y387" t="s">
        <v>195</v>
      </c>
      <c r="AA387" s="16" t="s">
        <v>173</v>
      </c>
      <c r="AB387" s="16" t="s">
        <v>174</v>
      </c>
      <c r="AC387" s="16" t="s">
        <v>139</v>
      </c>
      <c r="AD387" s="16" t="s">
        <v>196</v>
      </c>
    </row>
    <row r="388" spans="1:32" ht="18" customHeight="1">
      <c r="A388" s="23">
        <v>3</v>
      </c>
      <c r="B388" s="47" t="s">
        <v>197</v>
      </c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9"/>
      <c r="V388" s="16" t="s">
        <v>198</v>
      </c>
      <c r="X388" s="16" t="s">
        <v>199</v>
      </c>
      <c r="Y388" t="s">
        <v>200</v>
      </c>
      <c r="AA388" s="16" t="s">
        <v>179</v>
      </c>
      <c r="AB388" s="16" t="s">
        <v>180</v>
      </c>
      <c r="AC388" s="16" t="s">
        <v>147</v>
      </c>
      <c r="AD388" s="16" t="s">
        <v>201</v>
      </c>
    </row>
    <row r="389" spans="1:32" ht="18" customHeight="1">
      <c r="A389" s="37" t="s">
        <v>202</v>
      </c>
      <c r="B389" s="38"/>
      <c r="C389" s="39">
        <f>C59</f>
        <v>0</v>
      </c>
      <c r="D389" s="39"/>
      <c r="E389" s="37" t="s">
        <v>203</v>
      </c>
      <c r="F389" s="40"/>
      <c r="G389" s="41">
        <f>G59</f>
        <v>0</v>
      </c>
      <c r="H389" s="42"/>
      <c r="I389" s="42"/>
      <c r="J389" s="42"/>
      <c r="K389" s="28" t="s">
        <v>204</v>
      </c>
      <c r="L389" s="43" t="s">
        <v>205</v>
      </c>
      <c r="M389" s="43"/>
      <c r="N389" s="43"/>
      <c r="O389" s="43"/>
      <c r="P389" s="43"/>
      <c r="Q389" s="43"/>
      <c r="R389" s="43"/>
      <c r="U389" t="s">
        <v>206</v>
      </c>
      <c r="W389" s="16" t="s">
        <v>207</v>
      </c>
      <c r="X389" s="16" t="s">
        <v>208</v>
      </c>
    </row>
    <row r="390" spans="1:32" ht="18" customHeight="1">
      <c r="A390" s="37" t="s">
        <v>209</v>
      </c>
      <c r="B390" s="38"/>
      <c r="C390" s="39">
        <f>C60</f>
        <v>0</v>
      </c>
      <c r="D390" s="39"/>
      <c r="E390" s="37" t="s">
        <v>210</v>
      </c>
      <c r="F390" s="40"/>
      <c r="G390" s="41">
        <f>G60</f>
        <v>0</v>
      </c>
      <c r="H390" s="42"/>
      <c r="I390" s="42"/>
      <c r="J390" s="42"/>
      <c r="K390" s="28" t="s">
        <v>204</v>
      </c>
      <c r="L390" s="43" t="s">
        <v>205</v>
      </c>
      <c r="M390" s="43"/>
      <c r="N390" s="43"/>
      <c r="O390" s="43"/>
      <c r="P390" s="43"/>
      <c r="Q390" s="43"/>
      <c r="R390" s="43"/>
      <c r="V390" s="16" t="s">
        <v>211</v>
      </c>
      <c r="W390" s="16" t="s">
        <v>212</v>
      </c>
      <c r="Y390" t="s">
        <v>213</v>
      </c>
      <c r="AA390" s="16" t="s">
        <v>214</v>
      </c>
      <c r="AB390" s="16" t="s">
        <v>214</v>
      </c>
      <c r="AC390" s="16" t="s">
        <v>215</v>
      </c>
      <c r="AD390" s="16" t="s">
        <v>216</v>
      </c>
    </row>
    <row r="391" spans="1:32" ht="48" customHeight="1">
      <c r="A391" s="69" t="s">
        <v>0</v>
      </c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1" t="s">
        <v>1</v>
      </c>
      <c r="M391" s="71"/>
      <c r="N391" s="71"/>
      <c r="O391" s="71"/>
      <c r="P391" s="71"/>
      <c r="Q391" s="1" t="s">
        <v>2</v>
      </c>
      <c r="R391" s="2" t="s">
        <v>3</v>
      </c>
      <c r="S391" s="3"/>
      <c r="T391" s="3" t="s">
        <v>4</v>
      </c>
      <c r="U391" s="4" t="s">
        <v>5</v>
      </c>
      <c r="V391" s="4" t="s">
        <v>6</v>
      </c>
      <c r="W391" s="4" t="s">
        <v>7</v>
      </c>
      <c r="X391" s="4" t="s">
        <v>8</v>
      </c>
      <c r="Y391" s="4" t="s">
        <v>9</v>
      </c>
      <c r="Z391" s="4"/>
      <c r="AA391" s="4" t="s">
        <v>10</v>
      </c>
      <c r="AB391" s="4" t="s">
        <v>11</v>
      </c>
      <c r="AC391" s="4" t="s">
        <v>12</v>
      </c>
      <c r="AD391" s="4" t="s">
        <v>13</v>
      </c>
      <c r="AE391" s="4" t="s">
        <v>14</v>
      </c>
      <c r="AF391" s="4" t="s">
        <v>15</v>
      </c>
    </row>
    <row r="392" spans="1:32" s="8" customFormat="1" ht="18" customHeight="1">
      <c r="A392" s="5" t="s">
        <v>16</v>
      </c>
      <c r="B392" s="44">
        <f>B362</f>
        <v>0</v>
      </c>
      <c r="C392" s="45"/>
      <c r="D392" s="45"/>
      <c r="E392" s="6" t="s">
        <v>217</v>
      </c>
      <c r="F392" s="72" t="s">
        <v>18</v>
      </c>
      <c r="G392" s="74" t="s">
        <v>19</v>
      </c>
      <c r="H392" s="74" t="s">
        <v>20</v>
      </c>
      <c r="I392" s="77" t="s">
        <v>21</v>
      </c>
      <c r="J392" s="62" t="s">
        <v>22</v>
      </c>
      <c r="K392" s="79" t="s">
        <v>23</v>
      </c>
      <c r="L392" s="62" t="s">
        <v>24</v>
      </c>
      <c r="M392" s="56" t="s">
        <v>25</v>
      </c>
      <c r="N392" s="59" t="s">
        <v>26</v>
      </c>
      <c r="O392" s="62" t="s">
        <v>27</v>
      </c>
      <c r="P392" s="65" t="s">
        <v>28</v>
      </c>
      <c r="Q392" s="66" t="s">
        <v>29</v>
      </c>
      <c r="R392" s="68" t="s">
        <v>30</v>
      </c>
      <c r="S392"/>
      <c r="T392" s="7" t="str">
        <f>IF(C425&gt;18,IF(C425=20,Nennweite20,IF(C425=60,U394,IF(C425=50,Nennweite50,IF(C425=25,Nennweite25,IF(C425=32,Nennweite32,IF(C425=40,Nennweite40,"&gt;")))))),IF(C425=8,Nennweite8,IF(C425=6,Nennweite6,IF(C425=10,Nennweite10,IF(C425=18,Nennweite18,IF(C425=16,Nennweite16,IF(C425=12,Nennweite12,"")))))))</f>
        <v/>
      </c>
      <c r="U392" t="s">
        <v>31</v>
      </c>
      <c r="V392" t="s">
        <v>32</v>
      </c>
      <c r="W392" t="s">
        <v>33</v>
      </c>
      <c r="X392" t="s">
        <v>34</v>
      </c>
      <c r="Y392" t="s">
        <v>35</v>
      </c>
      <c r="Z392"/>
      <c r="AA392" t="s">
        <v>36</v>
      </c>
      <c r="AB392" t="s">
        <v>37</v>
      </c>
      <c r="AC392" t="s">
        <v>38</v>
      </c>
      <c r="AD392" t="s">
        <v>39</v>
      </c>
      <c r="AE392" t="s">
        <v>40</v>
      </c>
      <c r="AF392" t="s">
        <v>41</v>
      </c>
    </row>
    <row r="393" spans="1:32" ht="18" customHeight="1">
      <c r="A393" s="5" t="s">
        <v>42</v>
      </c>
      <c r="B393" s="44">
        <f>B363</f>
        <v>0</v>
      </c>
      <c r="C393" s="45"/>
      <c r="D393" s="45"/>
      <c r="E393" s="46"/>
      <c r="F393" s="72"/>
      <c r="G393" s="75"/>
      <c r="H393" s="75"/>
      <c r="I393" s="77"/>
      <c r="J393" s="63"/>
      <c r="K393" s="80"/>
      <c r="L393" s="63"/>
      <c r="M393" s="57"/>
      <c r="N393" s="60"/>
      <c r="O393" s="63"/>
      <c r="P393" s="63"/>
      <c r="Q393" s="66"/>
      <c r="R393" s="66"/>
      <c r="U393" t="s">
        <v>43</v>
      </c>
      <c r="V393" t="s">
        <v>44</v>
      </c>
      <c r="W393" t="s">
        <v>45</v>
      </c>
      <c r="X393" t="s">
        <v>46</v>
      </c>
      <c r="Y393" t="s">
        <v>47</v>
      </c>
      <c r="AA393" t="s">
        <v>48</v>
      </c>
      <c r="AB393" t="s">
        <v>49</v>
      </c>
      <c r="AC393" t="s">
        <v>50</v>
      </c>
      <c r="AD393" t="s">
        <v>51</v>
      </c>
      <c r="AE393" t="s">
        <v>52</v>
      </c>
      <c r="AF393" t="s">
        <v>53</v>
      </c>
    </row>
    <row r="394" spans="1:32" ht="18" customHeight="1" thickBot="1">
      <c r="A394" s="9" t="s">
        <v>54</v>
      </c>
      <c r="B394" s="10" t="s">
        <v>55</v>
      </c>
      <c r="C394" s="10" t="s">
        <v>56</v>
      </c>
      <c r="D394" s="11" t="s">
        <v>57</v>
      </c>
      <c r="E394" s="9" t="s">
        <v>58</v>
      </c>
      <c r="F394" s="73"/>
      <c r="G394" s="76"/>
      <c r="H394" s="76"/>
      <c r="I394" s="78"/>
      <c r="J394" s="64"/>
      <c r="K394" s="81"/>
      <c r="L394" s="64"/>
      <c r="M394" s="58"/>
      <c r="N394" s="61"/>
      <c r="O394" s="64"/>
      <c r="P394" s="64"/>
      <c r="Q394" s="67"/>
      <c r="R394" s="67"/>
      <c r="U394" t="s">
        <v>59</v>
      </c>
      <c r="V394" t="s">
        <v>60</v>
      </c>
      <c r="W394" t="s">
        <v>61</v>
      </c>
      <c r="X394" t="s">
        <v>62</v>
      </c>
      <c r="Y394" t="s">
        <v>63</v>
      </c>
      <c r="AA394" t="s">
        <v>64</v>
      </c>
      <c r="AB394" t="s">
        <v>65</v>
      </c>
      <c r="AC394" t="s">
        <v>66</v>
      </c>
      <c r="AD394" t="s">
        <v>67</v>
      </c>
      <c r="AE394" t="s">
        <v>68</v>
      </c>
      <c r="AF394" t="s">
        <v>69</v>
      </c>
    </row>
    <row r="395" spans="1:32" ht="22.15" customHeight="1">
      <c r="A395" s="12">
        <v>261</v>
      </c>
      <c r="B395" s="13"/>
      <c r="C395" s="13"/>
      <c r="D395" s="13"/>
      <c r="E395" s="13"/>
      <c r="F395" s="14"/>
      <c r="G395" s="15"/>
      <c r="H395" s="15"/>
      <c r="I395" s="24"/>
      <c r="J395" s="29"/>
      <c r="K395" s="18"/>
      <c r="L395" s="19"/>
      <c r="M395" s="31"/>
      <c r="N395" s="21"/>
      <c r="O395" s="30"/>
      <c r="P395" s="30"/>
      <c r="Q395" s="23"/>
      <c r="R395" s="24"/>
      <c r="U395" t="s">
        <v>218</v>
      </c>
      <c r="V395" t="s">
        <v>219</v>
      </c>
      <c r="X395" t="s">
        <v>220</v>
      </c>
      <c r="Y395" t="s">
        <v>221</v>
      </c>
      <c r="AA395" t="s">
        <v>222</v>
      </c>
      <c r="AB395" t="s">
        <v>223</v>
      </c>
      <c r="AC395" t="s">
        <v>161</v>
      </c>
      <c r="AD395" t="s">
        <v>224</v>
      </c>
    </row>
    <row r="396" spans="1:32" ht="22.15" customHeight="1">
      <c r="A396" s="12">
        <v>262</v>
      </c>
      <c r="B396" s="13"/>
      <c r="C396" s="13"/>
      <c r="D396" s="13"/>
      <c r="E396" s="13"/>
      <c r="F396" s="14"/>
      <c r="G396" s="15"/>
      <c r="H396" s="15"/>
      <c r="I396" s="24"/>
      <c r="J396" s="17"/>
      <c r="K396" s="18"/>
      <c r="L396" s="19"/>
      <c r="M396" s="31"/>
      <c r="N396" s="21"/>
      <c r="O396" s="30"/>
      <c r="P396" s="30"/>
      <c r="Q396" s="23"/>
      <c r="R396" s="24"/>
      <c r="U396" t="s">
        <v>225</v>
      </c>
      <c r="W396" t="s">
        <v>226</v>
      </c>
      <c r="X396" t="s">
        <v>227</v>
      </c>
      <c r="Y396" t="s">
        <v>228</v>
      </c>
    </row>
    <row r="397" spans="1:32" ht="22.15" customHeight="1">
      <c r="A397" s="12">
        <v>263</v>
      </c>
      <c r="B397" s="13"/>
      <c r="C397" s="13"/>
      <c r="D397" s="13"/>
      <c r="E397" s="13"/>
      <c r="F397" s="14"/>
      <c r="G397" s="15"/>
      <c r="H397" s="15"/>
      <c r="I397" s="24"/>
      <c r="J397" s="17"/>
      <c r="K397" s="18"/>
      <c r="L397" s="19"/>
      <c r="M397" s="31"/>
      <c r="N397" s="21"/>
      <c r="O397" s="30"/>
      <c r="P397" s="30"/>
      <c r="Q397" s="23"/>
      <c r="R397" s="24"/>
      <c r="V397" t="s">
        <v>229</v>
      </c>
      <c r="W397" t="s">
        <v>230</v>
      </c>
      <c r="Y397" t="s">
        <v>231</v>
      </c>
      <c r="AA397" t="s">
        <v>232</v>
      </c>
      <c r="AB397" t="s">
        <v>232</v>
      </c>
      <c r="AC397" t="s">
        <v>233</v>
      </c>
      <c r="AD397" t="s">
        <v>234</v>
      </c>
    </row>
    <row r="398" spans="1:32" ht="22.15" customHeight="1">
      <c r="A398" s="12">
        <v>264</v>
      </c>
      <c r="B398" s="12"/>
      <c r="C398" s="13"/>
      <c r="D398" s="13"/>
      <c r="E398" s="13"/>
      <c r="F398" s="14"/>
      <c r="G398" s="15"/>
      <c r="H398" s="15"/>
      <c r="I398" s="24"/>
      <c r="J398" s="17"/>
      <c r="K398" s="18"/>
      <c r="L398" s="19"/>
      <c r="M398" s="31"/>
      <c r="N398" s="21"/>
      <c r="O398" s="30"/>
      <c r="P398" s="30"/>
      <c r="Q398" s="23"/>
      <c r="R398" s="24"/>
      <c r="U398" t="s">
        <v>235</v>
      </c>
      <c r="W398" t="s">
        <v>236</v>
      </c>
      <c r="X398" t="s">
        <v>237</v>
      </c>
      <c r="AA398" t="s">
        <v>238</v>
      </c>
      <c r="AB398" t="s">
        <v>238</v>
      </c>
      <c r="AC398" t="s">
        <v>239</v>
      </c>
      <c r="AD398" t="s">
        <v>240</v>
      </c>
    </row>
    <row r="399" spans="1:32" ht="22.15" customHeight="1">
      <c r="A399" s="12">
        <v>265</v>
      </c>
      <c r="B399" s="12"/>
      <c r="C399" s="13"/>
      <c r="D399" s="13"/>
      <c r="E399" s="13"/>
      <c r="F399" s="14"/>
      <c r="G399" s="15"/>
      <c r="H399" s="15"/>
      <c r="I399" s="24"/>
      <c r="J399" s="17"/>
      <c r="K399" s="18"/>
      <c r="L399" s="19"/>
      <c r="M399" s="31"/>
      <c r="N399" s="21"/>
      <c r="O399" s="30"/>
      <c r="P399" s="30"/>
      <c r="Q399" s="23"/>
      <c r="R399" s="24"/>
      <c r="U399" t="s">
        <v>241</v>
      </c>
      <c r="V399" t="s">
        <v>242</v>
      </c>
      <c r="Y399" t="s">
        <v>243</v>
      </c>
      <c r="AA399" t="s">
        <v>244</v>
      </c>
      <c r="AB399" t="s">
        <v>244</v>
      </c>
      <c r="AC399" t="s">
        <v>245</v>
      </c>
      <c r="AD399" t="s">
        <v>246</v>
      </c>
    </row>
    <row r="400" spans="1:32" ht="22.15" customHeight="1">
      <c r="A400" s="12">
        <v>266</v>
      </c>
      <c r="B400" s="12"/>
      <c r="C400" s="13"/>
      <c r="D400" s="13"/>
      <c r="E400" s="13"/>
      <c r="F400" s="14"/>
      <c r="G400" s="15"/>
      <c r="H400" s="15"/>
      <c r="I400" s="24"/>
      <c r="J400" s="17"/>
      <c r="K400" s="18"/>
      <c r="L400" s="19"/>
      <c r="M400" s="31"/>
      <c r="N400" s="21"/>
      <c r="O400" s="30"/>
      <c r="P400" s="30"/>
      <c r="Q400" s="23"/>
      <c r="R400" s="24"/>
      <c r="U400" t="s">
        <v>247</v>
      </c>
      <c r="W400" t="s">
        <v>248</v>
      </c>
      <c r="X400" t="s">
        <v>249</v>
      </c>
      <c r="Y400" t="s">
        <v>250</v>
      </c>
    </row>
    <row r="401" spans="1:30" ht="22.15" customHeight="1">
      <c r="A401" s="12">
        <v>267</v>
      </c>
      <c r="B401" s="12"/>
      <c r="C401" s="13"/>
      <c r="D401" s="13"/>
      <c r="E401" s="13"/>
      <c r="F401" s="14"/>
      <c r="G401" s="15"/>
      <c r="H401" s="15"/>
      <c r="I401" s="24"/>
      <c r="J401" s="17"/>
      <c r="K401" s="18"/>
      <c r="L401" s="19"/>
      <c r="M401" s="31"/>
      <c r="N401" s="21"/>
      <c r="O401" s="30"/>
      <c r="P401" s="30"/>
      <c r="Q401" s="23"/>
      <c r="R401" s="24"/>
      <c r="W401" t="s">
        <v>251</v>
      </c>
      <c r="AA401" t="s">
        <v>252</v>
      </c>
      <c r="AB401" t="s">
        <v>233</v>
      </c>
      <c r="AC401" t="s">
        <v>253</v>
      </c>
      <c r="AD401" t="s">
        <v>254</v>
      </c>
    </row>
    <row r="402" spans="1:30" ht="22.15" customHeight="1">
      <c r="A402" s="12">
        <v>268</v>
      </c>
      <c r="B402" s="12"/>
      <c r="C402" s="13"/>
      <c r="D402" s="13"/>
      <c r="E402" s="13"/>
      <c r="F402" s="14"/>
      <c r="G402" s="15"/>
      <c r="H402" s="15"/>
      <c r="I402" s="24"/>
      <c r="J402" s="17"/>
      <c r="K402" s="18"/>
      <c r="L402" s="19"/>
      <c r="M402" s="31"/>
      <c r="N402" s="21"/>
      <c r="O402" s="30"/>
      <c r="P402" s="30"/>
      <c r="Q402" s="23"/>
      <c r="R402" s="24"/>
      <c r="U402" t="s">
        <v>255</v>
      </c>
      <c r="W402" t="s">
        <v>256</v>
      </c>
      <c r="Y402" t="s">
        <v>257</v>
      </c>
      <c r="AA402" t="s">
        <v>258</v>
      </c>
      <c r="AB402" t="s">
        <v>239</v>
      </c>
      <c r="AC402" t="s">
        <v>196</v>
      </c>
    </row>
    <row r="403" spans="1:30" ht="22.15" customHeight="1">
      <c r="A403" s="12">
        <v>269</v>
      </c>
      <c r="B403" s="12"/>
      <c r="C403" s="13"/>
      <c r="D403" s="13"/>
      <c r="E403" s="13"/>
      <c r="F403" s="14"/>
      <c r="G403" s="15"/>
      <c r="H403" s="15"/>
      <c r="I403" s="24"/>
      <c r="J403" s="17"/>
      <c r="K403" s="18"/>
      <c r="L403" s="19"/>
      <c r="M403" s="31"/>
      <c r="N403" s="21"/>
      <c r="O403" s="30"/>
      <c r="P403" s="30"/>
      <c r="Q403" s="23"/>
      <c r="R403" s="24"/>
      <c r="U403" t="s">
        <v>259</v>
      </c>
      <c r="Y403" t="s">
        <v>260</v>
      </c>
      <c r="AB403" t="s">
        <v>245</v>
      </c>
      <c r="AC403" t="s">
        <v>261</v>
      </c>
    </row>
    <row r="404" spans="1:30" ht="22.15" customHeight="1">
      <c r="A404" s="12">
        <v>270</v>
      </c>
      <c r="B404" s="12"/>
      <c r="C404" s="13"/>
      <c r="D404" s="13"/>
      <c r="E404" s="13"/>
      <c r="F404" s="14"/>
      <c r="G404" s="15"/>
      <c r="H404" s="15"/>
      <c r="I404" s="24"/>
      <c r="J404" s="17"/>
      <c r="K404" s="18"/>
      <c r="L404" s="19"/>
      <c r="M404" s="31"/>
      <c r="N404" s="21"/>
      <c r="O404" s="30"/>
      <c r="P404" s="30"/>
      <c r="Q404" s="23"/>
      <c r="R404" s="24"/>
      <c r="U404" t="s">
        <v>262</v>
      </c>
      <c r="W404" t="s">
        <v>263</v>
      </c>
      <c r="Y404" t="s">
        <v>264</v>
      </c>
      <c r="AA404" t="s">
        <v>265</v>
      </c>
    </row>
    <row r="405" spans="1:30" ht="22.15" customHeight="1">
      <c r="A405" s="12">
        <v>271</v>
      </c>
      <c r="B405" s="12"/>
      <c r="C405" s="13"/>
      <c r="D405" s="13"/>
      <c r="E405" s="13"/>
      <c r="F405" s="14"/>
      <c r="G405" s="15"/>
      <c r="H405" s="15"/>
      <c r="I405" s="24"/>
      <c r="J405" s="17"/>
      <c r="K405" s="18"/>
      <c r="L405" s="19"/>
      <c r="M405" s="31"/>
      <c r="N405" s="21"/>
      <c r="O405" s="30"/>
      <c r="P405" s="30"/>
      <c r="Q405" s="23"/>
      <c r="R405" s="24"/>
      <c r="AA405" t="s">
        <v>266</v>
      </c>
      <c r="AB405" t="s">
        <v>267</v>
      </c>
      <c r="AC405" t="s">
        <v>268</v>
      </c>
    </row>
    <row r="406" spans="1:30" ht="22.15" customHeight="1">
      <c r="A406" s="12">
        <v>272</v>
      </c>
      <c r="B406" s="12"/>
      <c r="C406" s="13"/>
      <c r="D406" s="13"/>
      <c r="E406" s="13"/>
      <c r="F406" s="14"/>
      <c r="G406" s="15"/>
      <c r="H406" s="15"/>
      <c r="I406" s="24"/>
      <c r="J406" s="17"/>
      <c r="K406" s="18"/>
      <c r="L406" s="19"/>
      <c r="M406" s="31"/>
      <c r="N406" s="21"/>
      <c r="O406" s="30"/>
      <c r="P406" s="30"/>
      <c r="Q406" s="23"/>
      <c r="R406" s="24"/>
      <c r="U406" t="s">
        <v>269</v>
      </c>
      <c r="W406" t="s">
        <v>270</v>
      </c>
      <c r="Y406" t="s">
        <v>271</v>
      </c>
      <c r="AA406" t="s">
        <v>272</v>
      </c>
      <c r="AB406" t="s">
        <v>273</v>
      </c>
      <c r="AC406" t="s">
        <v>274</v>
      </c>
    </row>
    <row r="407" spans="1:30" ht="22.15" customHeight="1">
      <c r="A407" s="12">
        <v>273</v>
      </c>
      <c r="B407" s="12"/>
      <c r="C407" s="13"/>
      <c r="D407" s="13"/>
      <c r="E407" s="13"/>
      <c r="F407" s="14"/>
      <c r="G407" s="15"/>
      <c r="H407" s="15"/>
      <c r="I407" s="24"/>
      <c r="J407" s="17"/>
      <c r="K407" s="18"/>
      <c r="L407" s="19"/>
      <c r="M407" s="31"/>
      <c r="N407" s="21"/>
      <c r="O407" s="30"/>
      <c r="P407" s="30"/>
      <c r="Q407" s="23"/>
      <c r="R407" s="24"/>
      <c r="U407" t="s">
        <v>275</v>
      </c>
      <c r="Y407" t="s">
        <v>276</v>
      </c>
    </row>
    <row r="408" spans="1:30" ht="22.15" customHeight="1">
      <c r="A408" s="12">
        <v>274</v>
      </c>
      <c r="B408" s="12"/>
      <c r="C408" s="13"/>
      <c r="D408" s="13"/>
      <c r="E408" s="13"/>
      <c r="F408" s="14"/>
      <c r="G408" s="15"/>
      <c r="H408" s="15"/>
      <c r="I408" s="24"/>
      <c r="J408" s="17"/>
      <c r="K408" s="18"/>
      <c r="L408" s="19"/>
      <c r="M408" s="31"/>
      <c r="N408" s="21"/>
      <c r="O408" s="30"/>
      <c r="P408" s="30"/>
      <c r="Q408" s="23"/>
      <c r="R408" s="24"/>
      <c r="U408" t="s">
        <v>277</v>
      </c>
      <c r="Y408" t="s">
        <v>278</v>
      </c>
      <c r="AA408" t="s">
        <v>279</v>
      </c>
      <c r="AB408" t="s">
        <v>280</v>
      </c>
      <c r="AC408" t="s">
        <v>281</v>
      </c>
    </row>
    <row r="409" spans="1:30" ht="22.15" customHeight="1">
      <c r="A409" s="12">
        <v>275</v>
      </c>
      <c r="B409" s="12"/>
      <c r="C409" s="13"/>
      <c r="D409" s="13"/>
      <c r="E409" s="13"/>
      <c r="F409" s="14"/>
      <c r="G409" s="15"/>
      <c r="H409" s="15"/>
      <c r="I409" s="24"/>
      <c r="J409" s="17"/>
      <c r="K409" s="18"/>
      <c r="L409" s="19"/>
      <c r="M409" s="31"/>
      <c r="N409" s="21"/>
      <c r="O409" s="30"/>
      <c r="P409" s="30"/>
      <c r="Q409" s="23"/>
      <c r="R409" s="24"/>
      <c r="AA409" t="s">
        <v>282</v>
      </c>
      <c r="AB409" t="s">
        <v>283</v>
      </c>
      <c r="AC409" t="s">
        <v>284</v>
      </c>
    </row>
    <row r="410" spans="1:30" ht="22.15" customHeight="1">
      <c r="A410" s="12">
        <v>276</v>
      </c>
      <c r="B410" s="12"/>
      <c r="C410" s="13"/>
      <c r="D410" s="13"/>
      <c r="E410" s="13"/>
      <c r="F410" s="14"/>
      <c r="G410" s="15"/>
      <c r="H410" s="15"/>
      <c r="I410" s="24"/>
      <c r="J410" s="17"/>
      <c r="K410" s="18"/>
      <c r="L410" s="19"/>
      <c r="M410" s="31"/>
      <c r="N410" s="21"/>
      <c r="O410" s="30"/>
      <c r="P410" s="30"/>
      <c r="Q410" s="23"/>
      <c r="R410" s="24"/>
      <c r="U410" t="s">
        <v>285</v>
      </c>
      <c r="Y410" t="s">
        <v>286</v>
      </c>
      <c r="AA410" t="s">
        <v>287</v>
      </c>
      <c r="AB410" t="s">
        <v>288</v>
      </c>
      <c r="AC410" t="s">
        <v>289</v>
      </c>
    </row>
    <row r="411" spans="1:30" ht="22.15" customHeight="1">
      <c r="A411" s="12">
        <v>277</v>
      </c>
      <c r="B411" s="12"/>
      <c r="C411" s="13"/>
      <c r="D411" s="13"/>
      <c r="E411" s="13"/>
      <c r="F411" s="14"/>
      <c r="G411" s="15"/>
      <c r="H411" s="15"/>
      <c r="I411" s="24"/>
      <c r="J411" s="17"/>
      <c r="K411" s="18"/>
      <c r="L411" s="19"/>
      <c r="M411" s="31"/>
      <c r="N411" s="21"/>
      <c r="O411" s="30"/>
      <c r="P411" s="30"/>
      <c r="Q411" s="23"/>
      <c r="R411" s="24"/>
      <c r="U411" t="s">
        <v>290</v>
      </c>
    </row>
    <row r="412" spans="1:30" ht="22.15" customHeight="1">
      <c r="A412" s="12">
        <v>278</v>
      </c>
      <c r="B412" s="12"/>
      <c r="C412" s="13"/>
      <c r="D412" s="13"/>
      <c r="E412" s="13"/>
      <c r="F412" s="14"/>
      <c r="G412" s="15"/>
      <c r="H412" s="15"/>
      <c r="I412" s="24"/>
      <c r="J412" s="17"/>
      <c r="K412" s="18"/>
      <c r="L412" s="19"/>
      <c r="M412" s="31"/>
      <c r="N412" s="21"/>
      <c r="O412" s="30"/>
      <c r="P412" s="30"/>
      <c r="Q412" s="23"/>
      <c r="R412" s="24"/>
      <c r="U412" t="s">
        <v>291</v>
      </c>
      <c r="Y412" t="s">
        <v>292</v>
      </c>
      <c r="AA412" t="s">
        <v>293</v>
      </c>
      <c r="AB412" t="s">
        <v>294</v>
      </c>
      <c r="AC412" t="s">
        <v>295</v>
      </c>
    </row>
    <row r="413" spans="1:30" ht="22.15" customHeight="1">
      <c r="A413" s="12">
        <v>279</v>
      </c>
      <c r="B413" s="12"/>
      <c r="C413" s="13"/>
      <c r="D413" s="13"/>
      <c r="E413" s="13"/>
      <c r="F413" s="14"/>
      <c r="G413" s="15"/>
      <c r="H413" s="15"/>
      <c r="I413" s="24"/>
      <c r="J413" s="17"/>
      <c r="K413" s="18"/>
      <c r="L413" s="19"/>
      <c r="M413" s="31"/>
      <c r="N413" s="21"/>
      <c r="O413" s="30"/>
      <c r="P413" s="30"/>
      <c r="Q413" s="23"/>
      <c r="R413" s="24"/>
      <c r="AA413" t="s">
        <v>296</v>
      </c>
      <c r="AB413" t="s">
        <v>297</v>
      </c>
      <c r="AC413" t="s">
        <v>298</v>
      </c>
    </row>
    <row r="414" spans="1:30" ht="22.15" customHeight="1">
      <c r="A414" s="12">
        <v>280</v>
      </c>
      <c r="B414" s="12"/>
      <c r="C414" s="13"/>
      <c r="D414" s="13"/>
      <c r="E414" s="13"/>
      <c r="F414" s="14"/>
      <c r="G414" s="15"/>
      <c r="H414" s="15"/>
      <c r="I414" s="24"/>
      <c r="J414" s="17"/>
      <c r="K414" s="18"/>
      <c r="L414" s="19"/>
      <c r="M414" s="31"/>
      <c r="N414" s="21"/>
      <c r="O414" s="30"/>
      <c r="P414" s="30"/>
      <c r="Q414" s="23"/>
      <c r="R414" s="24"/>
      <c r="U414" t="s">
        <v>299</v>
      </c>
      <c r="AB414" t="s">
        <v>300</v>
      </c>
      <c r="AC414" t="s">
        <v>301</v>
      </c>
    </row>
    <row r="415" spans="1:30" ht="18" customHeight="1">
      <c r="A415" s="47" t="s">
        <v>302</v>
      </c>
      <c r="B415" s="48"/>
      <c r="C415" s="48"/>
      <c r="D415" s="48"/>
      <c r="E415" s="49"/>
      <c r="F415" s="50" t="s">
        <v>183</v>
      </c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2"/>
      <c r="U415" t="s">
        <v>303</v>
      </c>
      <c r="AA415" s="27" t="s">
        <v>304</v>
      </c>
    </row>
    <row r="416" spans="1:30" ht="18" customHeight="1">
      <c r="A416" s="12">
        <v>1</v>
      </c>
      <c r="B416" s="47" t="s">
        <v>187</v>
      </c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9"/>
      <c r="AA416" s="27" t="s">
        <v>188</v>
      </c>
      <c r="AB416" s="27" t="s">
        <v>189</v>
      </c>
      <c r="AC416" s="27" t="s">
        <v>190</v>
      </c>
    </row>
    <row r="417" spans="1:32" ht="18" customHeight="1">
      <c r="A417" s="23">
        <v>2</v>
      </c>
      <c r="B417" s="53" t="s">
        <v>191</v>
      </c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5"/>
      <c r="U417" t="s">
        <v>192</v>
      </c>
      <c r="V417" s="16" t="s">
        <v>193</v>
      </c>
      <c r="W417" t="s">
        <v>194</v>
      </c>
      <c r="Y417" t="s">
        <v>195</v>
      </c>
      <c r="AA417" s="16" t="s">
        <v>173</v>
      </c>
      <c r="AB417" s="16" t="s">
        <v>174</v>
      </c>
      <c r="AC417" s="16" t="s">
        <v>139</v>
      </c>
      <c r="AD417" s="16" t="s">
        <v>196</v>
      </c>
    </row>
    <row r="418" spans="1:32" ht="18" customHeight="1">
      <c r="A418" s="23">
        <v>3</v>
      </c>
      <c r="B418" s="47" t="s">
        <v>197</v>
      </c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9"/>
      <c r="V418" s="16" t="s">
        <v>198</v>
      </c>
      <c r="X418" s="16" t="s">
        <v>199</v>
      </c>
      <c r="Y418" t="s">
        <v>200</v>
      </c>
      <c r="AA418" s="16" t="s">
        <v>179</v>
      </c>
      <c r="AB418" s="16" t="s">
        <v>180</v>
      </c>
      <c r="AC418" s="16" t="s">
        <v>147</v>
      </c>
      <c r="AD418" s="16" t="s">
        <v>201</v>
      </c>
    </row>
    <row r="419" spans="1:32" ht="18" customHeight="1">
      <c r="A419" s="37" t="s">
        <v>202</v>
      </c>
      <c r="B419" s="38"/>
      <c r="C419" s="39">
        <f>C389</f>
        <v>0</v>
      </c>
      <c r="D419" s="39"/>
      <c r="E419" s="37" t="s">
        <v>203</v>
      </c>
      <c r="F419" s="40"/>
      <c r="G419" s="41">
        <f>G389</f>
        <v>0</v>
      </c>
      <c r="H419" s="42"/>
      <c r="I419" s="42"/>
      <c r="J419" s="42"/>
      <c r="K419" s="28" t="s">
        <v>204</v>
      </c>
      <c r="L419" s="43" t="s">
        <v>205</v>
      </c>
      <c r="M419" s="43"/>
      <c r="N419" s="43"/>
      <c r="O419" s="43"/>
      <c r="P419" s="43"/>
      <c r="Q419" s="43"/>
      <c r="R419" s="43"/>
      <c r="U419" t="s">
        <v>206</v>
      </c>
      <c r="W419" s="16" t="s">
        <v>207</v>
      </c>
      <c r="X419" s="16" t="s">
        <v>208</v>
      </c>
    </row>
    <row r="420" spans="1:32" ht="18" customHeight="1">
      <c r="A420" s="37" t="s">
        <v>209</v>
      </c>
      <c r="B420" s="38"/>
      <c r="C420" s="82">
        <f>C390</f>
        <v>0</v>
      </c>
      <c r="D420" s="82"/>
      <c r="E420" s="37" t="s">
        <v>210</v>
      </c>
      <c r="F420" s="40"/>
      <c r="G420" s="41">
        <f>G390</f>
        <v>0</v>
      </c>
      <c r="H420" s="42"/>
      <c r="I420" s="42"/>
      <c r="J420" s="42"/>
      <c r="K420" s="28" t="s">
        <v>204</v>
      </c>
      <c r="L420" s="43" t="s">
        <v>205</v>
      </c>
      <c r="M420" s="43"/>
      <c r="N420" s="43"/>
      <c r="O420" s="43"/>
      <c r="P420" s="43"/>
      <c r="Q420" s="43"/>
      <c r="R420" s="43"/>
      <c r="V420" s="16" t="s">
        <v>211</v>
      </c>
      <c r="W420" s="16" t="s">
        <v>212</v>
      </c>
      <c r="Y420" t="s">
        <v>213</v>
      </c>
      <c r="AA420" s="16" t="s">
        <v>214</v>
      </c>
      <c r="AB420" s="16" t="s">
        <v>214</v>
      </c>
      <c r="AC420" s="16" t="s">
        <v>215</v>
      </c>
      <c r="AD420" s="16" t="s">
        <v>216</v>
      </c>
    </row>
    <row r="421" spans="1:32" ht="48" customHeight="1">
      <c r="A421" s="69" t="s">
        <v>0</v>
      </c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1" t="s">
        <v>1</v>
      </c>
      <c r="M421" s="71"/>
      <c r="N421" s="71"/>
      <c r="O421" s="71"/>
      <c r="P421" s="71"/>
      <c r="Q421" s="1" t="s">
        <v>2</v>
      </c>
      <c r="R421" s="2" t="s">
        <v>3</v>
      </c>
      <c r="S421" s="3"/>
      <c r="T421" s="3" t="s">
        <v>4</v>
      </c>
      <c r="U421" s="4" t="s">
        <v>5</v>
      </c>
      <c r="V421" s="4" t="s">
        <v>6</v>
      </c>
      <c r="W421" s="4" t="s">
        <v>7</v>
      </c>
      <c r="X421" s="4" t="s">
        <v>8</v>
      </c>
      <c r="Y421" s="4" t="s">
        <v>9</v>
      </c>
      <c r="Z421" s="4"/>
      <c r="AA421" s="4" t="s">
        <v>10</v>
      </c>
      <c r="AB421" s="4" t="s">
        <v>11</v>
      </c>
      <c r="AC421" s="4" t="s">
        <v>12</v>
      </c>
      <c r="AD421" s="4" t="s">
        <v>13</v>
      </c>
      <c r="AE421" s="4" t="s">
        <v>14</v>
      </c>
      <c r="AF421" s="4" t="s">
        <v>15</v>
      </c>
    </row>
    <row r="422" spans="1:32" s="8" customFormat="1" ht="18" customHeight="1">
      <c r="A422" s="5" t="s">
        <v>16</v>
      </c>
      <c r="B422" s="44">
        <f>B362</f>
        <v>0</v>
      </c>
      <c r="C422" s="45"/>
      <c r="D422" s="45"/>
      <c r="E422" s="6" t="str">
        <f>E362</f>
        <v>Version:1</v>
      </c>
      <c r="F422" s="72" t="s">
        <v>18</v>
      </c>
      <c r="G422" s="74" t="s">
        <v>19</v>
      </c>
      <c r="H422" s="74" t="s">
        <v>20</v>
      </c>
      <c r="I422" s="77" t="s">
        <v>21</v>
      </c>
      <c r="J422" s="62" t="s">
        <v>22</v>
      </c>
      <c r="K422" s="79" t="s">
        <v>23</v>
      </c>
      <c r="L422" s="62" t="s">
        <v>24</v>
      </c>
      <c r="M422" s="56" t="s">
        <v>25</v>
      </c>
      <c r="N422" s="59" t="s">
        <v>26</v>
      </c>
      <c r="O422" s="62" t="s">
        <v>27</v>
      </c>
      <c r="P422" s="65" t="s">
        <v>28</v>
      </c>
      <c r="Q422" s="66" t="s">
        <v>29</v>
      </c>
      <c r="R422" s="68" t="s">
        <v>30</v>
      </c>
      <c r="S422"/>
      <c r="T422" s="7" t="str">
        <f>IF(C455&gt;18,IF(C455=20,Nennweite20,IF(C455=60,U424,IF(C455=50,Nennweite50,IF(C455=25,Nennweite25,IF(C455=32,Nennweite32,IF(C455=40,Nennweite40,"&gt;")))))),IF(C455=8,Nennweite8,IF(C455=6,Nennweite6,IF(C455=10,Nennweite10,IF(C455=18,Nennweite18,IF(C455=16,Nennweite16,IF(C455=12,Nennweite12,"")))))))</f>
        <v/>
      </c>
      <c r="U422" t="s">
        <v>31</v>
      </c>
      <c r="V422" t="s">
        <v>32</v>
      </c>
      <c r="W422" t="s">
        <v>33</v>
      </c>
      <c r="X422" t="s">
        <v>34</v>
      </c>
      <c r="Y422" t="s">
        <v>35</v>
      </c>
      <c r="Z422"/>
      <c r="AA422" t="s">
        <v>36</v>
      </c>
      <c r="AB422" t="s">
        <v>37</v>
      </c>
      <c r="AC422" t="s">
        <v>38</v>
      </c>
      <c r="AD422" t="s">
        <v>39</v>
      </c>
      <c r="AE422" t="s">
        <v>40</v>
      </c>
      <c r="AF422" t="s">
        <v>41</v>
      </c>
    </row>
    <row r="423" spans="1:32" ht="18" customHeight="1">
      <c r="A423" s="5" t="s">
        <v>42</v>
      </c>
      <c r="B423" s="44">
        <f>B363</f>
        <v>0</v>
      </c>
      <c r="C423" s="45"/>
      <c r="D423" s="45"/>
      <c r="E423" s="46"/>
      <c r="F423" s="72"/>
      <c r="G423" s="75"/>
      <c r="H423" s="75"/>
      <c r="I423" s="77"/>
      <c r="J423" s="63"/>
      <c r="K423" s="80"/>
      <c r="L423" s="63"/>
      <c r="M423" s="57"/>
      <c r="N423" s="60"/>
      <c r="O423" s="63"/>
      <c r="P423" s="63"/>
      <c r="Q423" s="66"/>
      <c r="R423" s="66"/>
      <c r="U423" t="s">
        <v>43</v>
      </c>
      <c r="V423" t="s">
        <v>44</v>
      </c>
      <c r="W423" t="s">
        <v>45</v>
      </c>
      <c r="X423" t="s">
        <v>46</v>
      </c>
      <c r="Y423" t="s">
        <v>47</v>
      </c>
      <c r="AA423" t="s">
        <v>48</v>
      </c>
      <c r="AB423" t="s">
        <v>49</v>
      </c>
      <c r="AC423" t="s">
        <v>50</v>
      </c>
      <c r="AD423" t="s">
        <v>51</v>
      </c>
      <c r="AE423" t="s">
        <v>52</v>
      </c>
      <c r="AF423" t="s">
        <v>53</v>
      </c>
    </row>
    <row r="424" spans="1:32" ht="18" customHeight="1" thickBot="1">
      <c r="A424" s="9" t="s">
        <v>54</v>
      </c>
      <c r="B424" s="10" t="s">
        <v>55</v>
      </c>
      <c r="C424" s="10" t="s">
        <v>56</v>
      </c>
      <c r="D424" s="11" t="s">
        <v>57</v>
      </c>
      <c r="E424" s="9" t="s">
        <v>58</v>
      </c>
      <c r="F424" s="73"/>
      <c r="G424" s="76"/>
      <c r="H424" s="76"/>
      <c r="I424" s="78"/>
      <c r="J424" s="64"/>
      <c r="K424" s="81"/>
      <c r="L424" s="64"/>
      <c r="M424" s="58"/>
      <c r="N424" s="61"/>
      <c r="O424" s="64"/>
      <c r="P424" s="64"/>
      <c r="Q424" s="67"/>
      <c r="R424" s="67"/>
      <c r="U424" t="s">
        <v>59</v>
      </c>
      <c r="V424" t="s">
        <v>60</v>
      </c>
      <c r="W424" t="s">
        <v>61</v>
      </c>
      <c r="X424" t="s">
        <v>62</v>
      </c>
      <c r="Y424" t="s">
        <v>63</v>
      </c>
      <c r="AA424" t="s">
        <v>64</v>
      </c>
      <c r="AB424" t="s">
        <v>65</v>
      </c>
      <c r="AC424" t="s">
        <v>66</v>
      </c>
      <c r="AD424" t="s">
        <v>67</v>
      </c>
      <c r="AE424" t="s">
        <v>68</v>
      </c>
      <c r="AF424" t="s">
        <v>69</v>
      </c>
    </row>
    <row r="425" spans="1:32" ht="22.15" customHeight="1">
      <c r="A425" s="12">
        <v>281</v>
      </c>
      <c r="B425" s="13"/>
      <c r="C425" s="13"/>
      <c r="D425" s="13"/>
      <c r="E425" s="13"/>
      <c r="F425" s="14"/>
      <c r="G425" s="15"/>
      <c r="H425" s="15"/>
      <c r="I425" s="24"/>
      <c r="J425" s="17"/>
      <c r="K425" s="18"/>
      <c r="L425" s="19"/>
      <c r="M425" s="31"/>
      <c r="N425" s="21"/>
      <c r="O425" s="30"/>
      <c r="P425" s="30"/>
      <c r="Q425" s="23"/>
      <c r="R425" s="24"/>
    </row>
    <row r="426" spans="1:32" ht="22.15" customHeight="1">
      <c r="A426" s="12">
        <v>282</v>
      </c>
      <c r="B426" s="13"/>
      <c r="C426" s="13"/>
      <c r="D426" s="13"/>
      <c r="E426" s="13"/>
      <c r="F426" s="14"/>
      <c r="G426" s="15"/>
      <c r="H426" s="15"/>
      <c r="I426" s="24"/>
      <c r="J426" s="17"/>
      <c r="K426" s="18"/>
      <c r="L426" s="19"/>
      <c r="M426" s="31"/>
      <c r="N426" s="21"/>
      <c r="O426" s="30"/>
      <c r="P426" s="30"/>
      <c r="Q426" s="23"/>
      <c r="R426" s="24"/>
      <c r="AA426" t="s">
        <v>305</v>
      </c>
      <c r="AB426" t="s">
        <v>306</v>
      </c>
    </row>
    <row r="427" spans="1:32" ht="22.15" customHeight="1">
      <c r="A427" s="12">
        <v>283</v>
      </c>
      <c r="B427" s="13"/>
      <c r="C427" s="13"/>
      <c r="D427" s="13"/>
      <c r="E427" s="13"/>
      <c r="F427" s="14"/>
      <c r="G427" s="15"/>
      <c r="H427" s="15"/>
      <c r="I427" s="24"/>
      <c r="J427" s="17"/>
      <c r="K427" s="18"/>
      <c r="L427" s="19"/>
      <c r="M427" s="31"/>
      <c r="N427" s="21"/>
      <c r="O427" s="30"/>
      <c r="P427" s="30"/>
      <c r="Q427" s="23"/>
      <c r="R427" s="24"/>
    </row>
    <row r="428" spans="1:32" ht="22.15" customHeight="1">
      <c r="A428" s="12">
        <v>284</v>
      </c>
      <c r="B428" s="12"/>
      <c r="C428" s="13"/>
      <c r="D428" s="13"/>
      <c r="E428" s="13"/>
      <c r="F428" s="14"/>
      <c r="G428" s="15"/>
      <c r="H428" s="15"/>
      <c r="I428" s="24"/>
      <c r="J428" s="17"/>
      <c r="K428" s="18"/>
      <c r="L428" s="19"/>
      <c r="M428" s="31"/>
      <c r="N428" s="21"/>
      <c r="O428" s="30"/>
      <c r="P428" s="30"/>
      <c r="Q428" s="23"/>
      <c r="R428" s="24"/>
      <c r="AA428" t="s">
        <v>307</v>
      </c>
      <c r="AB428" t="s">
        <v>308</v>
      </c>
    </row>
    <row r="429" spans="1:32" ht="22.15" customHeight="1">
      <c r="A429" s="12">
        <v>285</v>
      </c>
      <c r="B429" s="12"/>
      <c r="C429" s="13"/>
      <c r="D429" s="13"/>
      <c r="E429" s="13"/>
      <c r="F429" s="14"/>
      <c r="G429" s="15"/>
      <c r="H429" s="15"/>
      <c r="I429" s="24"/>
      <c r="J429" s="17"/>
      <c r="K429" s="18"/>
      <c r="L429" s="19"/>
      <c r="M429" s="31"/>
      <c r="N429" s="21"/>
      <c r="O429" s="30"/>
      <c r="P429" s="30"/>
      <c r="Q429" s="23"/>
      <c r="R429" s="24"/>
      <c r="AA429" t="s">
        <v>309</v>
      </c>
    </row>
    <row r="430" spans="1:32" ht="22.15" customHeight="1">
      <c r="A430" s="12">
        <v>286</v>
      </c>
      <c r="B430" s="12"/>
      <c r="C430" s="13"/>
      <c r="D430" s="13"/>
      <c r="E430" s="13"/>
      <c r="F430" s="14"/>
      <c r="G430" s="15"/>
      <c r="H430" s="15"/>
      <c r="I430" s="24"/>
      <c r="J430" s="17"/>
      <c r="K430" s="18"/>
      <c r="L430" s="19"/>
      <c r="M430" s="31"/>
      <c r="N430" s="21"/>
      <c r="O430" s="30"/>
      <c r="P430" s="30"/>
      <c r="Q430" s="23"/>
      <c r="R430" s="24"/>
      <c r="AA430" t="s">
        <v>310</v>
      </c>
      <c r="AB430" t="s">
        <v>311</v>
      </c>
    </row>
    <row r="431" spans="1:32" ht="22.15" customHeight="1">
      <c r="A431" s="12">
        <v>287</v>
      </c>
      <c r="B431" s="12"/>
      <c r="C431" s="13"/>
      <c r="D431" s="13"/>
      <c r="E431" s="13"/>
      <c r="F431" s="14"/>
      <c r="G431" s="15"/>
      <c r="H431" s="15"/>
      <c r="I431" s="24"/>
      <c r="J431" s="17"/>
      <c r="K431" s="18"/>
      <c r="L431" s="19"/>
      <c r="M431" s="31"/>
      <c r="N431" s="21"/>
      <c r="O431" s="30"/>
      <c r="P431" s="30"/>
      <c r="Q431" s="23"/>
      <c r="R431" s="24"/>
      <c r="AB431" t="s">
        <v>312</v>
      </c>
    </row>
    <row r="432" spans="1:32" ht="22.15" customHeight="1">
      <c r="A432" s="12">
        <v>288</v>
      </c>
      <c r="B432" s="12"/>
      <c r="C432" s="13"/>
      <c r="D432" s="13"/>
      <c r="E432" s="13"/>
      <c r="F432" s="14"/>
      <c r="G432" s="15"/>
      <c r="H432" s="15"/>
      <c r="I432" s="24"/>
      <c r="J432" s="17"/>
      <c r="K432" s="18"/>
      <c r="L432" s="19"/>
      <c r="M432" s="31"/>
      <c r="N432" s="21"/>
      <c r="O432" s="30"/>
      <c r="P432" s="30"/>
      <c r="Q432" s="23"/>
      <c r="R432" s="24"/>
      <c r="AA432" t="s">
        <v>313</v>
      </c>
      <c r="AB432" t="s">
        <v>314</v>
      </c>
    </row>
    <row r="433" spans="1:30" ht="22.15" customHeight="1">
      <c r="A433" s="12">
        <v>289</v>
      </c>
      <c r="B433" s="12"/>
      <c r="C433" s="13"/>
      <c r="D433" s="13"/>
      <c r="E433" s="13"/>
      <c r="F433" s="14"/>
      <c r="G433" s="15"/>
      <c r="H433" s="15"/>
      <c r="I433" s="24"/>
      <c r="J433" s="17"/>
      <c r="K433" s="18"/>
      <c r="L433" s="19"/>
      <c r="M433" s="31"/>
      <c r="N433" s="21"/>
      <c r="O433" s="30"/>
      <c r="P433" s="30"/>
      <c r="Q433" s="23"/>
      <c r="R433" s="24"/>
      <c r="AA433" t="s">
        <v>315</v>
      </c>
    </row>
    <row r="434" spans="1:30" ht="22.15" customHeight="1">
      <c r="A434" s="12">
        <v>290</v>
      </c>
      <c r="B434" s="12"/>
      <c r="C434" s="13"/>
      <c r="D434" s="13"/>
      <c r="E434" s="13"/>
      <c r="F434" s="14"/>
      <c r="G434" s="15"/>
      <c r="H434" s="15"/>
      <c r="I434" s="24"/>
      <c r="J434" s="17"/>
      <c r="K434" s="18"/>
      <c r="L434" s="19"/>
      <c r="M434" s="31"/>
      <c r="N434" s="21"/>
      <c r="O434" s="30"/>
      <c r="P434" s="30"/>
      <c r="Q434" s="23"/>
      <c r="R434" s="24"/>
      <c r="AA434" t="s">
        <v>316</v>
      </c>
    </row>
    <row r="435" spans="1:30" ht="22.15" customHeight="1">
      <c r="A435" s="12">
        <v>291</v>
      </c>
      <c r="B435" s="12"/>
      <c r="C435" s="13"/>
      <c r="D435" s="13"/>
      <c r="E435" s="13"/>
      <c r="F435" s="14"/>
      <c r="G435" s="15"/>
      <c r="H435" s="15"/>
      <c r="I435" s="24"/>
      <c r="J435" s="17"/>
      <c r="K435" s="18"/>
      <c r="L435" s="19"/>
      <c r="M435" s="31"/>
      <c r="N435" s="21"/>
      <c r="O435" s="30"/>
      <c r="P435" s="30"/>
      <c r="Q435" s="23"/>
      <c r="R435" s="24"/>
    </row>
    <row r="436" spans="1:30" ht="22.15" customHeight="1">
      <c r="A436" s="12">
        <v>292</v>
      </c>
      <c r="B436" s="12"/>
      <c r="C436" s="13"/>
      <c r="D436" s="13"/>
      <c r="E436" s="13"/>
      <c r="F436" s="14"/>
      <c r="G436" s="15"/>
      <c r="H436" s="15"/>
      <c r="I436" s="24"/>
      <c r="J436" s="17"/>
      <c r="K436" s="18"/>
      <c r="L436" s="19"/>
      <c r="M436" s="31"/>
      <c r="N436" s="21"/>
      <c r="O436" s="30"/>
      <c r="P436" s="30"/>
      <c r="Q436" s="23"/>
      <c r="R436" s="24"/>
      <c r="AA436" t="s">
        <v>317</v>
      </c>
    </row>
    <row r="437" spans="1:30" ht="22.15" customHeight="1">
      <c r="A437" s="12">
        <v>293</v>
      </c>
      <c r="B437" s="12"/>
      <c r="C437" s="13"/>
      <c r="D437" s="13"/>
      <c r="E437" s="13"/>
      <c r="F437" s="14"/>
      <c r="G437" s="15"/>
      <c r="H437" s="15"/>
      <c r="I437" s="24"/>
      <c r="J437" s="17"/>
      <c r="K437" s="18"/>
      <c r="L437" s="19"/>
      <c r="M437" s="31"/>
      <c r="N437" s="21"/>
      <c r="O437" s="30"/>
      <c r="P437" s="30"/>
      <c r="Q437" s="23"/>
      <c r="R437" s="24"/>
      <c r="AA437" t="s">
        <v>318</v>
      </c>
    </row>
    <row r="438" spans="1:30" ht="22.15" customHeight="1">
      <c r="A438" s="12">
        <v>294</v>
      </c>
      <c r="B438" s="12"/>
      <c r="C438" s="13"/>
      <c r="D438" s="13"/>
      <c r="E438" s="13"/>
      <c r="F438" s="14"/>
      <c r="G438" s="15"/>
      <c r="H438" s="15"/>
      <c r="I438" s="24"/>
      <c r="J438" s="17"/>
      <c r="K438" s="18"/>
      <c r="L438" s="19"/>
      <c r="M438" s="31"/>
      <c r="N438" s="21"/>
      <c r="O438" s="30"/>
      <c r="P438" s="30"/>
      <c r="Q438" s="23"/>
      <c r="R438" s="24"/>
      <c r="AA438" t="s">
        <v>319</v>
      </c>
    </row>
    <row r="439" spans="1:30" ht="22.15" customHeight="1">
      <c r="A439" s="12">
        <v>295</v>
      </c>
      <c r="B439" s="12"/>
      <c r="C439" s="13"/>
      <c r="D439" s="13"/>
      <c r="E439" s="13"/>
      <c r="F439" s="14"/>
      <c r="G439" s="15"/>
      <c r="H439" s="15"/>
      <c r="I439" s="24"/>
      <c r="J439" s="17"/>
      <c r="K439" s="18"/>
      <c r="L439" s="19"/>
      <c r="M439" s="31"/>
      <c r="N439" s="21"/>
      <c r="O439" s="30"/>
      <c r="P439" s="30"/>
      <c r="Q439" s="23"/>
      <c r="R439" s="24"/>
    </row>
    <row r="440" spans="1:30" ht="22.15" customHeight="1">
      <c r="A440" s="12">
        <v>296</v>
      </c>
      <c r="B440" s="12"/>
      <c r="C440" s="13"/>
      <c r="D440" s="13"/>
      <c r="E440" s="13"/>
      <c r="F440" s="14"/>
      <c r="G440" s="15"/>
      <c r="H440" s="15"/>
      <c r="I440" s="24"/>
      <c r="J440" s="17"/>
      <c r="K440" s="18"/>
      <c r="L440" s="19"/>
      <c r="M440" s="31"/>
      <c r="N440" s="21"/>
      <c r="O440" s="30"/>
      <c r="P440" s="30"/>
      <c r="Q440" s="23"/>
      <c r="R440" s="24"/>
    </row>
    <row r="441" spans="1:30" ht="22.15" customHeight="1">
      <c r="A441" s="12">
        <v>297</v>
      </c>
      <c r="B441" s="12"/>
      <c r="C441" s="13"/>
      <c r="D441" s="13"/>
      <c r="E441" s="13"/>
      <c r="F441" s="14"/>
      <c r="G441" s="15"/>
      <c r="H441" s="15"/>
      <c r="I441" s="24"/>
      <c r="J441" s="17"/>
      <c r="K441" s="18"/>
      <c r="L441" s="19"/>
      <c r="M441" s="31"/>
      <c r="N441" s="21"/>
      <c r="O441" s="30"/>
      <c r="P441" s="30"/>
      <c r="Q441" s="23"/>
      <c r="R441" s="24"/>
    </row>
    <row r="442" spans="1:30" ht="22.15" customHeight="1">
      <c r="A442" s="12">
        <v>298</v>
      </c>
      <c r="B442" s="12"/>
      <c r="C442" s="13"/>
      <c r="D442" s="13"/>
      <c r="E442" s="13"/>
      <c r="F442" s="14"/>
      <c r="G442" s="15"/>
      <c r="H442" s="15"/>
      <c r="I442" s="24"/>
      <c r="J442" s="17"/>
      <c r="K442" s="18"/>
      <c r="L442" s="19"/>
      <c r="M442" s="31"/>
      <c r="N442" s="21"/>
      <c r="O442" s="30"/>
      <c r="P442" s="30"/>
      <c r="Q442" s="23"/>
      <c r="R442" s="24"/>
    </row>
    <row r="443" spans="1:30" ht="22.15" customHeight="1">
      <c r="A443" s="12">
        <v>299</v>
      </c>
      <c r="B443" s="12"/>
      <c r="C443" s="13"/>
      <c r="D443" s="13"/>
      <c r="E443" s="13"/>
      <c r="F443" s="14"/>
      <c r="G443" s="15"/>
      <c r="H443" s="15"/>
      <c r="I443" s="24"/>
      <c r="J443" s="17"/>
      <c r="K443" s="18"/>
      <c r="L443" s="19"/>
      <c r="M443" s="31"/>
      <c r="N443" s="21"/>
      <c r="O443" s="30"/>
      <c r="P443" s="30"/>
      <c r="Q443" s="23"/>
      <c r="R443" s="24"/>
    </row>
    <row r="444" spans="1:30" ht="22.15" customHeight="1">
      <c r="A444" s="12">
        <v>300</v>
      </c>
      <c r="B444" s="12"/>
      <c r="C444" s="13"/>
      <c r="D444" s="13"/>
      <c r="E444" s="13"/>
      <c r="F444" s="14"/>
      <c r="G444" s="15"/>
      <c r="H444" s="15"/>
      <c r="I444" s="24"/>
      <c r="J444" s="17"/>
      <c r="K444" s="18"/>
      <c r="L444" s="19"/>
      <c r="M444" s="31"/>
      <c r="N444" s="21"/>
      <c r="O444" s="30"/>
      <c r="P444" s="30"/>
      <c r="Q444" s="23"/>
      <c r="R444" s="24"/>
    </row>
    <row r="445" spans="1:30" ht="18" customHeight="1">
      <c r="A445" s="47" t="s">
        <v>302</v>
      </c>
      <c r="B445" s="48"/>
      <c r="C445" s="48"/>
      <c r="D445" s="48"/>
      <c r="E445" s="49"/>
      <c r="F445" s="50" t="s">
        <v>183</v>
      </c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2"/>
    </row>
    <row r="446" spans="1:30" ht="18" customHeight="1">
      <c r="A446" s="12">
        <v>1</v>
      </c>
      <c r="B446" s="47" t="s">
        <v>187</v>
      </c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9"/>
      <c r="AA446" s="27" t="s">
        <v>188</v>
      </c>
      <c r="AB446" s="27" t="s">
        <v>189</v>
      </c>
      <c r="AC446" s="27" t="s">
        <v>190</v>
      </c>
    </row>
    <row r="447" spans="1:30" ht="18" customHeight="1">
      <c r="A447" s="23">
        <v>2</v>
      </c>
      <c r="B447" s="53" t="s">
        <v>191</v>
      </c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5"/>
      <c r="U447" t="s">
        <v>192</v>
      </c>
      <c r="V447" s="16" t="s">
        <v>193</v>
      </c>
      <c r="W447" t="s">
        <v>194</v>
      </c>
      <c r="Y447" t="s">
        <v>195</v>
      </c>
      <c r="AA447" s="16" t="s">
        <v>173</v>
      </c>
      <c r="AB447" s="16" t="s">
        <v>174</v>
      </c>
      <c r="AC447" s="16" t="s">
        <v>139</v>
      </c>
      <c r="AD447" s="16" t="s">
        <v>196</v>
      </c>
    </row>
    <row r="448" spans="1:30" ht="18" customHeight="1">
      <c r="A448" s="23">
        <v>3</v>
      </c>
      <c r="B448" s="47" t="s">
        <v>197</v>
      </c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9"/>
      <c r="V448" s="16" t="s">
        <v>198</v>
      </c>
      <c r="X448" s="16" t="s">
        <v>199</v>
      </c>
      <c r="Y448" t="s">
        <v>200</v>
      </c>
      <c r="AA448" s="16" t="s">
        <v>179</v>
      </c>
      <c r="AB448" s="16" t="s">
        <v>180</v>
      </c>
      <c r="AC448" s="16" t="s">
        <v>147</v>
      </c>
      <c r="AD448" s="16" t="s">
        <v>201</v>
      </c>
    </row>
    <row r="449" spans="1:32" ht="18" customHeight="1">
      <c r="A449" s="37" t="s">
        <v>202</v>
      </c>
      <c r="B449" s="38"/>
      <c r="C449" s="39">
        <f>C389</f>
        <v>0</v>
      </c>
      <c r="D449" s="39"/>
      <c r="E449" s="37" t="s">
        <v>203</v>
      </c>
      <c r="F449" s="40"/>
      <c r="G449" s="41">
        <f>G389</f>
        <v>0</v>
      </c>
      <c r="H449" s="42"/>
      <c r="I449" s="42"/>
      <c r="J449" s="42"/>
      <c r="K449" s="28" t="s">
        <v>204</v>
      </c>
      <c r="L449" s="43" t="s">
        <v>205</v>
      </c>
      <c r="M449" s="43"/>
      <c r="N449" s="43"/>
      <c r="O449" s="43"/>
      <c r="P449" s="43"/>
      <c r="Q449" s="43"/>
      <c r="R449" s="43"/>
      <c r="U449" t="s">
        <v>206</v>
      </c>
      <c r="W449" s="16" t="s">
        <v>207</v>
      </c>
      <c r="X449" s="16" t="s">
        <v>208</v>
      </c>
    </row>
    <row r="450" spans="1:32" ht="18" customHeight="1">
      <c r="A450" s="37" t="s">
        <v>209</v>
      </c>
      <c r="B450" s="38"/>
      <c r="C450" s="82">
        <f>C390</f>
        <v>0</v>
      </c>
      <c r="D450" s="82"/>
      <c r="E450" s="37" t="s">
        <v>210</v>
      </c>
      <c r="F450" s="40"/>
      <c r="G450" s="41">
        <f>G390</f>
        <v>0</v>
      </c>
      <c r="H450" s="42"/>
      <c r="I450" s="42"/>
      <c r="J450" s="42"/>
      <c r="K450" s="28" t="s">
        <v>204</v>
      </c>
      <c r="L450" s="43" t="s">
        <v>205</v>
      </c>
      <c r="M450" s="43"/>
      <c r="N450" s="43"/>
      <c r="O450" s="43"/>
      <c r="P450" s="43"/>
      <c r="Q450" s="43"/>
      <c r="R450" s="43"/>
      <c r="V450" s="16" t="s">
        <v>211</v>
      </c>
      <c r="W450" s="16" t="s">
        <v>212</v>
      </c>
      <c r="Y450" t="s">
        <v>213</v>
      </c>
      <c r="AA450" s="16" t="s">
        <v>214</v>
      </c>
      <c r="AB450" s="16" t="s">
        <v>214</v>
      </c>
      <c r="AC450" s="16" t="s">
        <v>215</v>
      </c>
      <c r="AD450" s="16" t="s">
        <v>216</v>
      </c>
    </row>
    <row r="451" spans="1:32" ht="48" customHeight="1">
      <c r="A451" s="69" t="s">
        <v>0</v>
      </c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1" t="s">
        <v>1</v>
      </c>
      <c r="M451" s="71"/>
      <c r="N451" s="71"/>
      <c r="O451" s="71"/>
      <c r="P451" s="71"/>
      <c r="Q451" s="1" t="s">
        <v>2</v>
      </c>
      <c r="R451" s="2" t="s">
        <v>3</v>
      </c>
      <c r="S451" s="3"/>
      <c r="T451" s="3" t="s">
        <v>4</v>
      </c>
      <c r="U451" s="4" t="s">
        <v>5</v>
      </c>
      <c r="V451" s="4" t="s">
        <v>6</v>
      </c>
      <c r="W451" s="4" t="s">
        <v>7</v>
      </c>
      <c r="X451" s="4" t="s">
        <v>8</v>
      </c>
      <c r="Y451" s="4" t="s">
        <v>9</v>
      </c>
      <c r="Z451" s="4"/>
      <c r="AA451" s="4" t="s">
        <v>10</v>
      </c>
      <c r="AB451" s="4" t="s">
        <v>11</v>
      </c>
      <c r="AC451" s="4" t="s">
        <v>12</v>
      </c>
      <c r="AD451" s="4" t="s">
        <v>13</v>
      </c>
      <c r="AE451" s="4" t="s">
        <v>14</v>
      </c>
      <c r="AF451" s="4" t="s">
        <v>15</v>
      </c>
    </row>
    <row r="452" spans="1:32" s="8" customFormat="1" ht="18" customHeight="1">
      <c r="A452" s="5" t="s">
        <v>16</v>
      </c>
      <c r="B452" s="44">
        <f>B362</f>
        <v>0</v>
      </c>
      <c r="C452" s="45"/>
      <c r="D452" s="45"/>
      <c r="E452" s="6" t="str">
        <f>E362</f>
        <v>Version:1</v>
      </c>
      <c r="F452" s="72" t="s">
        <v>18</v>
      </c>
      <c r="G452" s="74" t="s">
        <v>19</v>
      </c>
      <c r="H452" s="74" t="s">
        <v>20</v>
      </c>
      <c r="I452" s="77" t="s">
        <v>21</v>
      </c>
      <c r="J452" s="62" t="s">
        <v>22</v>
      </c>
      <c r="K452" s="79" t="s">
        <v>23</v>
      </c>
      <c r="L452" s="62" t="s">
        <v>24</v>
      </c>
      <c r="M452" s="56" t="s">
        <v>25</v>
      </c>
      <c r="N452" s="59" t="s">
        <v>26</v>
      </c>
      <c r="O452" s="62" t="s">
        <v>27</v>
      </c>
      <c r="P452" s="65" t="s">
        <v>28</v>
      </c>
      <c r="Q452" s="66" t="s">
        <v>29</v>
      </c>
      <c r="R452" s="68" t="s">
        <v>30</v>
      </c>
      <c r="S452"/>
      <c r="T452" s="7" t="str">
        <f>IF(C485&gt;18,IF(C485=20,Nennweite20,IF(C485=60,U454,IF(C485=50,Nennweite50,IF(C485=25,Nennweite25,IF(C485=32,Nennweite32,IF(C485=40,Nennweite40,"&gt;")))))),IF(C485=8,Nennweite8,IF(C485=6,Nennweite6,IF(C485=10,Nennweite10,IF(C485=18,Nennweite18,IF(C485=16,Nennweite16,IF(C485=12,Nennweite12,"")))))))</f>
        <v/>
      </c>
      <c r="U452" t="s">
        <v>31</v>
      </c>
      <c r="V452" t="s">
        <v>32</v>
      </c>
      <c r="W452" t="s">
        <v>33</v>
      </c>
      <c r="X452" t="s">
        <v>34</v>
      </c>
      <c r="Y452" t="s">
        <v>35</v>
      </c>
      <c r="Z452"/>
      <c r="AA452" t="s">
        <v>36</v>
      </c>
      <c r="AB452" t="s">
        <v>37</v>
      </c>
      <c r="AC452" t="s">
        <v>38</v>
      </c>
      <c r="AD452" t="s">
        <v>39</v>
      </c>
      <c r="AE452" t="s">
        <v>40</v>
      </c>
      <c r="AF452" t="s">
        <v>41</v>
      </c>
    </row>
    <row r="453" spans="1:32" ht="18" customHeight="1">
      <c r="A453" s="5" t="s">
        <v>42</v>
      </c>
      <c r="B453" s="44">
        <f>B363</f>
        <v>0</v>
      </c>
      <c r="C453" s="45"/>
      <c r="D453" s="45"/>
      <c r="E453" s="46"/>
      <c r="F453" s="72"/>
      <c r="G453" s="75"/>
      <c r="H453" s="75"/>
      <c r="I453" s="77"/>
      <c r="J453" s="63"/>
      <c r="K453" s="80"/>
      <c r="L453" s="63"/>
      <c r="M453" s="57"/>
      <c r="N453" s="60"/>
      <c r="O453" s="63"/>
      <c r="P453" s="63"/>
      <c r="Q453" s="66"/>
      <c r="R453" s="66"/>
      <c r="U453" t="s">
        <v>43</v>
      </c>
      <c r="V453" t="s">
        <v>44</v>
      </c>
      <c r="W453" t="s">
        <v>45</v>
      </c>
      <c r="X453" t="s">
        <v>46</v>
      </c>
      <c r="Y453" t="s">
        <v>47</v>
      </c>
      <c r="AA453" t="s">
        <v>48</v>
      </c>
      <c r="AB453" t="s">
        <v>49</v>
      </c>
      <c r="AC453" t="s">
        <v>50</v>
      </c>
      <c r="AD453" t="s">
        <v>51</v>
      </c>
      <c r="AE453" t="s">
        <v>52</v>
      </c>
      <c r="AF453" t="s">
        <v>53</v>
      </c>
    </row>
    <row r="454" spans="1:32" ht="18" customHeight="1" thickBot="1">
      <c r="A454" s="9" t="s">
        <v>54</v>
      </c>
      <c r="B454" s="10" t="s">
        <v>55</v>
      </c>
      <c r="C454" s="10" t="s">
        <v>56</v>
      </c>
      <c r="D454" s="11" t="s">
        <v>57</v>
      </c>
      <c r="E454" s="9" t="s">
        <v>58</v>
      </c>
      <c r="F454" s="73"/>
      <c r="G454" s="76"/>
      <c r="H454" s="76"/>
      <c r="I454" s="78"/>
      <c r="J454" s="64"/>
      <c r="K454" s="81"/>
      <c r="L454" s="64"/>
      <c r="M454" s="58"/>
      <c r="N454" s="61"/>
      <c r="O454" s="64"/>
      <c r="P454" s="64"/>
      <c r="Q454" s="67"/>
      <c r="R454" s="67"/>
      <c r="U454" t="s">
        <v>59</v>
      </c>
      <c r="V454" t="s">
        <v>60</v>
      </c>
      <c r="W454" t="s">
        <v>61</v>
      </c>
      <c r="X454" t="s">
        <v>62</v>
      </c>
      <c r="Y454" t="s">
        <v>63</v>
      </c>
      <c r="AA454" t="s">
        <v>64</v>
      </c>
      <c r="AB454" t="s">
        <v>65</v>
      </c>
      <c r="AC454" t="s">
        <v>66</v>
      </c>
      <c r="AD454" t="s">
        <v>67</v>
      </c>
      <c r="AE454" t="s">
        <v>68</v>
      </c>
      <c r="AF454" t="s">
        <v>69</v>
      </c>
    </row>
    <row r="455" spans="1:32" ht="22.15" customHeight="1">
      <c r="A455" s="12">
        <v>301</v>
      </c>
      <c r="B455" s="13"/>
      <c r="C455" s="13"/>
      <c r="D455" s="13"/>
      <c r="E455" s="13"/>
      <c r="F455" s="14"/>
      <c r="G455" s="15"/>
      <c r="H455" s="15"/>
      <c r="I455" s="24"/>
      <c r="J455" s="17"/>
      <c r="K455" s="18"/>
      <c r="L455" s="19"/>
      <c r="M455" s="31"/>
      <c r="N455" s="21"/>
      <c r="O455" s="30"/>
      <c r="P455" s="30"/>
      <c r="Q455" s="23"/>
      <c r="R455" s="24"/>
    </row>
    <row r="456" spans="1:32" ht="22.15" customHeight="1">
      <c r="A456" s="12">
        <v>302</v>
      </c>
      <c r="B456" s="13"/>
      <c r="C456" s="13"/>
      <c r="D456" s="13"/>
      <c r="E456" s="13"/>
      <c r="F456" s="14"/>
      <c r="G456" s="15"/>
      <c r="H456" s="15"/>
      <c r="I456" s="24"/>
      <c r="J456" s="17"/>
      <c r="K456" s="18"/>
      <c r="L456" s="19"/>
      <c r="M456" s="31"/>
      <c r="N456" s="21"/>
      <c r="O456" s="30"/>
      <c r="P456" s="30"/>
      <c r="Q456" s="23"/>
      <c r="R456" s="24"/>
    </row>
    <row r="457" spans="1:32" ht="22.15" customHeight="1">
      <c r="A457" s="12">
        <v>303</v>
      </c>
      <c r="B457" s="13"/>
      <c r="C457" s="13"/>
      <c r="D457" s="13"/>
      <c r="E457" s="13"/>
      <c r="F457" s="14"/>
      <c r="G457" s="15"/>
      <c r="H457" s="15"/>
      <c r="I457" s="24"/>
      <c r="J457" s="17"/>
      <c r="K457" s="18"/>
      <c r="L457" s="19"/>
      <c r="M457" s="31"/>
      <c r="N457" s="21"/>
      <c r="O457" s="30"/>
      <c r="P457" s="30"/>
      <c r="Q457" s="23"/>
      <c r="R457" s="24"/>
    </row>
    <row r="458" spans="1:32" ht="22.15" customHeight="1">
      <c r="A458" s="12">
        <v>304</v>
      </c>
      <c r="B458" s="12"/>
      <c r="C458" s="13"/>
      <c r="D458" s="13"/>
      <c r="E458" s="13"/>
      <c r="F458" s="14"/>
      <c r="G458" s="15"/>
      <c r="H458" s="15"/>
      <c r="I458" s="24"/>
      <c r="J458" s="17"/>
      <c r="K458" s="18"/>
      <c r="L458" s="19"/>
      <c r="M458" s="31"/>
      <c r="N458" s="21"/>
      <c r="O458" s="30"/>
      <c r="P458" s="30"/>
      <c r="Q458" s="23"/>
      <c r="R458" s="24"/>
    </row>
    <row r="459" spans="1:32" ht="22.15" customHeight="1">
      <c r="A459" s="12">
        <v>305</v>
      </c>
      <c r="B459" s="12"/>
      <c r="C459" s="13"/>
      <c r="D459" s="13"/>
      <c r="E459" s="13"/>
      <c r="F459" s="14"/>
      <c r="G459" s="15"/>
      <c r="H459" s="15"/>
      <c r="I459" s="24"/>
      <c r="J459" s="17"/>
      <c r="K459" s="18"/>
      <c r="L459" s="19"/>
      <c r="M459" s="31"/>
      <c r="N459" s="21"/>
      <c r="O459" s="30"/>
      <c r="P459" s="30"/>
      <c r="Q459" s="23"/>
      <c r="R459" s="24"/>
    </row>
    <row r="460" spans="1:32" ht="22.15" customHeight="1">
      <c r="A460" s="12">
        <v>306</v>
      </c>
      <c r="B460" s="12"/>
      <c r="C460" s="13"/>
      <c r="D460" s="13"/>
      <c r="E460" s="13"/>
      <c r="F460" s="14"/>
      <c r="G460" s="15"/>
      <c r="H460" s="15"/>
      <c r="I460" s="24"/>
      <c r="J460" s="17"/>
      <c r="K460" s="18"/>
      <c r="L460" s="19"/>
      <c r="M460" s="31"/>
      <c r="N460" s="21"/>
      <c r="O460" s="30"/>
      <c r="P460" s="30"/>
      <c r="Q460" s="23"/>
      <c r="R460" s="24"/>
    </row>
    <row r="461" spans="1:32" ht="22.15" customHeight="1">
      <c r="A461" s="12">
        <v>307</v>
      </c>
      <c r="B461" s="12"/>
      <c r="C461" s="13"/>
      <c r="D461" s="13"/>
      <c r="E461" s="13"/>
      <c r="F461" s="14"/>
      <c r="G461" s="15"/>
      <c r="H461" s="15"/>
      <c r="I461" s="24"/>
      <c r="J461" s="17"/>
      <c r="K461" s="18"/>
      <c r="L461" s="19"/>
      <c r="M461" s="31"/>
      <c r="N461" s="21"/>
      <c r="O461" s="30"/>
      <c r="P461" s="30"/>
      <c r="Q461" s="23"/>
      <c r="R461" s="24"/>
    </row>
    <row r="462" spans="1:32" ht="22.15" customHeight="1">
      <c r="A462" s="12">
        <v>308</v>
      </c>
      <c r="B462" s="12"/>
      <c r="C462" s="13"/>
      <c r="D462" s="13"/>
      <c r="E462" s="13"/>
      <c r="F462" s="14"/>
      <c r="G462" s="15"/>
      <c r="H462" s="15"/>
      <c r="I462" s="24"/>
      <c r="J462" s="17"/>
      <c r="K462" s="18"/>
      <c r="L462" s="19"/>
      <c r="M462" s="31"/>
      <c r="N462" s="21"/>
      <c r="O462" s="30"/>
      <c r="P462" s="30"/>
      <c r="Q462" s="23"/>
      <c r="R462" s="24"/>
    </row>
    <row r="463" spans="1:32" ht="22.15" customHeight="1">
      <c r="A463" s="12">
        <v>309</v>
      </c>
      <c r="B463" s="12"/>
      <c r="C463" s="13"/>
      <c r="D463" s="13"/>
      <c r="E463" s="13"/>
      <c r="F463" s="14"/>
      <c r="G463" s="15"/>
      <c r="H463" s="15"/>
      <c r="I463" s="24"/>
      <c r="J463" s="17"/>
      <c r="K463" s="18"/>
      <c r="L463" s="19"/>
      <c r="M463" s="31"/>
      <c r="N463" s="21"/>
      <c r="O463" s="30"/>
      <c r="P463" s="30"/>
      <c r="Q463" s="23"/>
      <c r="R463" s="24"/>
    </row>
    <row r="464" spans="1:32" ht="22.15" customHeight="1">
      <c r="A464" s="12">
        <v>310</v>
      </c>
      <c r="B464" s="12"/>
      <c r="C464" s="13"/>
      <c r="D464" s="13"/>
      <c r="E464" s="13"/>
      <c r="F464" s="14"/>
      <c r="G464" s="15"/>
      <c r="H464" s="15"/>
      <c r="I464" s="24"/>
      <c r="J464" s="17"/>
      <c r="K464" s="18"/>
      <c r="L464" s="19"/>
      <c r="M464" s="31"/>
      <c r="N464" s="21"/>
      <c r="O464" s="30"/>
      <c r="P464" s="30"/>
      <c r="Q464" s="23"/>
      <c r="R464" s="24"/>
    </row>
    <row r="465" spans="1:30" ht="22.15" customHeight="1">
      <c r="A465" s="12">
        <v>311</v>
      </c>
      <c r="B465" s="12"/>
      <c r="C465" s="13"/>
      <c r="D465" s="13"/>
      <c r="E465" s="13"/>
      <c r="F465" s="14"/>
      <c r="G465" s="15"/>
      <c r="H465" s="15"/>
      <c r="I465" s="24"/>
      <c r="J465" s="17"/>
      <c r="K465" s="18"/>
      <c r="L465" s="19"/>
      <c r="M465" s="31"/>
      <c r="N465" s="21"/>
      <c r="O465" s="30"/>
      <c r="P465" s="30"/>
      <c r="Q465" s="23"/>
      <c r="R465" s="24"/>
    </row>
    <row r="466" spans="1:30" ht="22.15" customHeight="1">
      <c r="A466" s="12">
        <v>312</v>
      </c>
      <c r="B466" s="12"/>
      <c r="C466" s="13"/>
      <c r="D466" s="13"/>
      <c r="E466" s="13"/>
      <c r="F466" s="14"/>
      <c r="G466" s="15"/>
      <c r="H466" s="15"/>
      <c r="I466" s="24"/>
      <c r="J466" s="17"/>
      <c r="K466" s="18"/>
      <c r="L466" s="19"/>
      <c r="M466" s="31"/>
      <c r="N466" s="21"/>
      <c r="O466" s="30"/>
      <c r="P466" s="30"/>
      <c r="Q466" s="23"/>
      <c r="R466" s="24"/>
    </row>
    <row r="467" spans="1:30" ht="22.15" customHeight="1">
      <c r="A467" s="12">
        <v>313</v>
      </c>
      <c r="B467" s="12"/>
      <c r="C467" s="13"/>
      <c r="D467" s="13"/>
      <c r="E467" s="13"/>
      <c r="F467" s="14"/>
      <c r="G467" s="15"/>
      <c r="H467" s="15"/>
      <c r="I467" s="24"/>
      <c r="J467" s="17"/>
      <c r="K467" s="18"/>
      <c r="L467" s="19"/>
      <c r="M467" s="31"/>
      <c r="N467" s="21"/>
      <c r="O467" s="30"/>
      <c r="P467" s="30"/>
      <c r="Q467" s="23"/>
      <c r="R467" s="24"/>
    </row>
    <row r="468" spans="1:30" ht="22.15" customHeight="1">
      <c r="A468" s="12">
        <v>314</v>
      </c>
      <c r="B468" s="12"/>
      <c r="C468" s="13"/>
      <c r="D468" s="13"/>
      <c r="E468" s="13"/>
      <c r="F468" s="14"/>
      <c r="G468" s="15"/>
      <c r="H468" s="15"/>
      <c r="I468" s="24"/>
      <c r="J468" s="17"/>
      <c r="K468" s="18"/>
      <c r="L468" s="19"/>
      <c r="M468" s="31"/>
      <c r="N468" s="21"/>
      <c r="O468" s="30"/>
      <c r="P468" s="30"/>
      <c r="Q468" s="23"/>
      <c r="R468" s="24"/>
    </row>
    <row r="469" spans="1:30" ht="22.15" customHeight="1">
      <c r="A469" s="12">
        <v>315</v>
      </c>
      <c r="B469" s="12"/>
      <c r="C469" s="13"/>
      <c r="D469" s="13"/>
      <c r="E469" s="13"/>
      <c r="F469" s="14"/>
      <c r="G469" s="15"/>
      <c r="H469" s="15"/>
      <c r="I469" s="24"/>
      <c r="J469" s="17"/>
      <c r="K469" s="18"/>
      <c r="L469" s="19"/>
      <c r="M469" s="31"/>
      <c r="N469" s="21"/>
      <c r="O469" s="30"/>
      <c r="P469" s="30"/>
      <c r="Q469" s="23"/>
      <c r="R469" s="24"/>
    </row>
    <row r="470" spans="1:30" ht="22.15" customHeight="1">
      <c r="A470" s="12">
        <v>316</v>
      </c>
      <c r="B470" s="12"/>
      <c r="C470" s="13"/>
      <c r="D470" s="13"/>
      <c r="E470" s="13"/>
      <c r="F470" s="14"/>
      <c r="G470" s="15"/>
      <c r="H470" s="15"/>
      <c r="I470" s="24"/>
      <c r="J470" s="17"/>
      <c r="K470" s="18"/>
      <c r="L470" s="19"/>
      <c r="M470" s="31"/>
      <c r="N470" s="21"/>
      <c r="O470" s="30"/>
      <c r="P470" s="30"/>
      <c r="Q470" s="23"/>
      <c r="R470" s="24"/>
    </row>
    <row r="471" spans="1:30" ht="22.15" customHeight="1">
      <c r="A471" s="12">
        <v>317</v>
      </c>
      <c r="B471" s="12"/>
      <c r="C471" s="13"/>
      <c r="D471" s="13"/>
      <c r="E471" s="13"/>
      <c r="F471" s="14"/>
      <c r="G471" s="15"/>
      <c r="H471" s="15"/>
      <c r="I471" s="24"/>
      <c r="J471" s="17"/>
      <c r="K471" s="18"/>
      <c r="L471" s="19"/>
      <c r="M471" s="31"/>
      <c r="N471" s="21"/>
      <c r="O471" s="30"/>
      <c r="P471" s="30"/>
      <c r="Q471" s="23"/>
      <c r="R471" s="24"/>
    </row>
    <row r="472" spans="1:30" ht="22.15" customHeight="1">
      <c r="A472" s="12">
        <v>318</v>
      </c>
      <c r="B472" s="12"/>
      <c r="C472" s="13"/>
      <c r="D472" s="13"/>
      <c r="E472" s="13"/>
      <c r="F472" s="14"/>
      <c r="G472" s="15"/>
      <c r="H472" s="15"/>
      <c r="I472" s="24"/>
      <c r="J472" s="17"/>
      <c r="K472" s="18"/>
      <c r="L472" s="19"/>
      <c r="M472" s="31"/>
      <c r="N472" s="21"/>
      <c r="O472" s="30"/>
      <c r="P472" s="30"/>
      <c r="Q472" s="23"/>
      <c r="R472" s="24"/>
    </row>
    <row r="473" spans="1:30" ht="22.15" customHeight="1">
      <c r="A473" s="12">
        <v>319</v>
      </c>
      <c r="B473" s="12"/>
      <c r="C473" s="13"/>
      <c r="D473" s="13"/>
      <c r="E473" s="13"/>
      <c r="F473" s="14"/>
      <c r="G473" s="15"/>
      <c r="H473" s="15"/>
      <c r="I473" s="24"/>
      <c r="J473" s="17"/>
      <c r="K473" s="18"/>
      <c r="L473" s="19"/>
      <c r="M473" s="31"/>
      <c r="N473" s="21"/>
      <c r="O473" s="30"/>
      <c r="P473" s="30"/>
      <c r="Q473" s="23"/>
      <c r="R473" s="24"/>
    </row>
    <row r="474" spans="1:30" ht="22.15" customHeight="1">
      <c r="A474" s="12">
        <v>320</v>
      </c>
      <c r="B474" s="12"/>
      <c r="C474" s="13"/>
      <c r="D474" s="13"/>
      <c r="E474" s="13"/>
      <c r="F474" s="14"/>
      <c r="G474" s="15"/>
      <c r="H474" s="15"/>
      <c r="I474" s="24"/>
      <c r="J474" s="17"/>
      <c r="K474" s="18"/>
      <c r="L474" s="19"/>
      <c r="M474" s="31"/>
      <c r="N474" s="21"/>
      <c r="O474" s="30"/>
      <c r="P474" s="30"/>
      <c r="Q474" s="23"/>
      <c r="R474" s="24"/>
    </row>
    <row r="475" spans="1:30" ht="18" customHeight="1">
      <c r="A475" s="47" t="s">
        <v>302</v>
      </c>
      <c r="B475" s="48"/>
      <c r="C475" s="48"/>
      <c r="D475" s="48"/>
      <c r="E475" s="49"/>
      <c r="F475" s="50" t="s">
        <v>183</v>
      </c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2"/>
    </row>
    <row r="476" spans="1:30" ht="18" customHeight="1">
      <c r="A476" s="12">
        <v>1</v>
      </c>
      <c r="B476" s="47" t="s">
        <v>187</v>
      </c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9"/>
      <c r="AA476" s="27" t="s">
        <v>188</v>
      </c>
      <c r="AB476" s="27" t="s">
        <v>189</v>
      </c>
      <c r="AC476" s="27" t="s">
        <v>190</v>
      </c>
    </row>
    <row r="477" spans="1:30" ht="18" customHeight="1">
      <c r="A477" s="23">
        <v>2</v>
      </c>
      <c r="B477" s="53" t="s">
        <v>191</v>
      </c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5"/>
      <c r="U477" t="s">
        <v>192</v>
      </c>
      <c r="V477" s="16" t="s">
        <v>193</v>
      </c>
      <c r="W477" t="s">
        <v>194</v>
      </c>
      <c r="Y477" t="s">
        <v>195</v>
      </c>
      <c r="AA477" s="16" t="s">
        <v>173</v>
      </c>
      <c r="AB477" s="16" t="s">
        <v>174</v>
      </c>
      <c r="AC477" s="16" t="s">
        <v>139</v>
      </c>
      <c r="AD477" s="16" t="s">
        <v>196</v>
      </c>
    </row>
    <row r="478" spans="1:30" ht="18" customHeight="1">
      <c r="A478" s="23">
        <v>3</v>
      </c>
      <c r="B478" s="47" t="s">
        <v>197</v>
      </c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9"/>
      <c r="V478" s="16" t="s">
        <v>198</v>
      </c>
      <c r="X478" s="16" t="s">
        <v>199</v>
      </c>
      <c r="Y478" t="s">
        <v>200</v>
      </c>
      <c r="AA478" s="16" t="s">
        <v>179</v>
      </c>
      <c r="AB478" s="16" t="s">
        <v>180</v>
      </c>
      <c r="AC478" s="16" t="s">
        <v>147</v>
      </c>
      <c r="AD478" s="16" t="s">
        <v>201</v>
      </c>
    </row>
    <row r="479" spans="1:30" ht="18" customHeight="1">
      <c r="A479" s="37" t="s">
        <v>202</v>
      </c>
      <c r="B479" s="38"/>
      <c r="C479" s="39">
        <f>C389</f>
        <v>0</v>
      </c>
      <c r="D479" s="39"/>
      <c r="E479" s="37" t="s">
        <v>203</v>
      </c>
      <c r="F479" s="40"/>
      <c r="G479" s="41">
        <f>G389</f>
        <v>0</v>
      </c>
      <c r="H479" s="42"/>
      <c r="I479" s="42"/>
      <c r="J479" s="42"/>
      <c r="K479" s="28" t="s">
        <v>204</v>
      </c>
      <c r="L479" s="43" t="s">
        <v>205</v>
      </c>
      <c r="M479" s="43"/>
      <c r="N479" s="43"/>
      <c r="O479" s="43"/>
      <c r="P479" s="43"/>
      <c r="Q479" s="43"/>
      <c r="R479" s="43"/>
      <c r="U479" t="s">
        <v>206</v>
      </c>
      <c r="W479" s="16" t="s">
        <v>207</v>
      </c>
      <c r="X479" s="16" t="s">
        <v>208</v>
      </c>
    </row>
    <row r="480" spans="1:30" ht="18" customHeight="1">
      <c r="A480" s="37" t="s">
        <v>209</v>
      </c>
      <c r="B480" s="38"/>
      <c r="C480" s="82">
        <f>C390</f>
        <v>0</v>
      </c>
      <c r="D480" s="82"/>
      <c r="E480" s="37" t="s">
        <v>210</v>
      </c>
      <c r="F480" s="40"/>
      <c r="G480" s="41">
        <f>G390</f>
        <v>0</v>
      </c>
      <c r="H480" s="42"/>
      <c r="I480" s="42"/>
      <c r="J480" s="42"/>
      <c r="K480" s="28" t="s">
        <v>204</v>
      </c>
      <c r="L480" s="43" t="s">
        <v>205</v>
      </c>
      <c r="M480" s="43"/>
      <c r="N480" s="43"/>
      <c r="O480" s="43"/>
      <c r="P480" s="43"/>
      <c r="Q480" s="43"/>
      <c r="R480" s="43"/>
      <c r="V480" s="16" t="s">
        <v>211</v>
      </c>
      <c r="W480" s="16" t="s">
        <v>212</v>
      </c>
      <c r="Y480" t="s">
        <v>213</v>
      </c>
      <c r="AA480" s="16" t="s">
        <v>214</v>
      </c>
      <c r="AB480" s="16" t="s">
        <v>214</v>
      </c>
      <c r="AC480" s="16" t="s">
        <v>215</v>
      </c>
      <c r="AD480" s="16" t="s">
        <v>216</v>
      </c>
    </row>
    <row r="481" spans="1:32" ht="48" customHeight="1">
      <c r="A481" s="69" t="s">
        <v>0</v>
      </c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1" t="s">
        <v>1</v>
      </c>
      <c r="M481" s="71"/>
      <c r="N481" s="71"/>
      <c r="O481" s="71"/>
      <c r="P481" s="71"/>
      <c r="Q481" s="1" t="s">
        <v>2</v>
      </c>
      <c r="R481" s="2" t="s">
        <v>3</v>
      </c>
      <c r="S481" s="3"/>
      <c r="T481" s="3" t="s">
        <v>4</v>
      </c>
      <c r="U481" s="4" t="s">
        <v>5</v>
      </c>
      <c r="V481" s="4" t="s">
        <v>6</v>
      </c>
      <c r="W481" s="4" t="s">
        <v>7</v>
      </c>
      <c r="X481" s="4" t="s">
        <v>8</v>
      </c>
      <c r="Y481" s="4" t="s">
        <v>9</v>
      </c>
      <c r="Z481" s="4"/>
      <c r="AA481" s="4" t="s">
        <v>10</v>
      </c>
      <c r="AB481" s="4" t="s">
        <v>11</v>
      </c>
      <c r="AC481" s="4" t="s">
        <v>12</v>
      </c>
      <c r="AD481" s="4" t="s">
        <v>13</v>
      </c>
      <c r="AE481" s="4" t="s">
        <v>14</v>
      </c>
      <c r="AF481" s="4" t="s">
        <v>15</v>
      </c>
    </row>
    <row r="482" spans="1:32" s="8" customFormat="1" ht="18" customHeight="1">
      <c r="A482" s="5" t="s">
        <v>16</v>
      </c>
      <c r="B482" s="44">
        <f>B362</f>
        <v>0</v>
      </c>
      <c r="C482" s="45"/>
      <c r="D482" s="45"/>
      <c r="E482" s="6" t="str">
        <f>E362</f>
        <v>Version:1</v>
      </c>
      <c r="F482" s="72" t="s">
        <v>18</v>
      </c>
      <c r="G482" s="74" t="s">
        <v>19</v>
      </c>
      <c r="H482" s="74" t="s">
        <v>20</v>
      </c>
      <c r="I482" s="77" t="s">
        <v>21</v>
      </c>
      <c r="J482" s="62" t="s">
        <v>22</v>
      </c>
      <c r="K482" s="79" t="s">
        <v>23</v>
      </c>
      <c r="L482" s="62" t="s">
        <v>24</v>
      </c>
      <c r="M482" s="56" t="s">
        <v>25</v>
      </c>
      <c r="N482" s="59" t="s">
        <v>26</v>
      </c>
      <c r="O482" s="62" t="s">
        <v>27</v>
      </c>
      <c r="P482" s="65" t="s">
        <v>28</v>
      </c>
      <c r="Q482" s="66" t="s">
        <v>29</v>
      </c>
      <c r="R482" s="68" t="s">
        <v>30</v>
      </c>
      <c r="S482"/>
      <c r="T482" s="7" t="str">
        <f>IF(C515&gt;18,IF(C515=20,Nennweite20,IF(C515=60,U484,IF(C515=50,Nennweite50,IF(C515=25,Nennweite25,IF(C515=32,Nennweite32,IF(C515=40,Nennweite40,"&gt;")))))),IF(C515=8,Nennweite8,IF(C515=6,Nennweite6,IF(C515=10,Nennweite10,IF(C515=18,Nennweite18,IF(C515=16,Nennweite16,IF(C515=12,Nennweite12,"")))))))</f>
        <v/>
      </c>
      <c r="U482" t="s">
        <v>31</v>
      </c>
      <c r="V482" t="s">
        <v>32</v>
      </c>
      <c r="W482" t="s">
        <v>33</v>
      </c>
      <c r="X482" t="s">
        <v>34</v>
      </c>
      <c r="Y482" t="s">
        <v>35</v>
      </c>
      <c r="Z482"/>
      <c r="AA482" t="s">
        <v>36</v>
      </c>
      <c r="AB482" t="s">
        <v>37</v>
      </c>
      <c r="AC482" t="s">
        <v>38</v>
      </c>
      <c r="AD482" t="s">
        <v>39</v>
      </c>
      <c r="AE482" t="s">
        <v>40</v>
      </c>
      <c r="AF482" t="s">
        <v>41</v>
      </c>
    </row>
    <row r="483" spans="1:32" ht="18" customHeight="1">
      <c r="A483" s="5" t="s">
        <v>42</v>
      </c>
      <c r="B483" s="44">
        <f>B363</f>
        <v>0</v>
      </c>
      <c r="C483" s="45"/>
      <c r="D483" s="45"/>
      <c r="E483" s="46"/>
      <c r="F483" s="72"/>
      <c r="G483" s="75"/>
      <c r="H483" s="75"/>
      <c r="I483" s="77"/>
      <c r="J483" s="63"/>
      <c r="K483" s="80"/>
      <c r="L483" s="63"/>
      <c r="M483" s="57"/>
      <c r="N483" s="60"/>
      <c r="O483" s="63"/>
      <c r="P483" s="63"/>
      <c r="Q483" s="66"/>
      <c r="R483" s="66"/>
      <c r="U483" t="s">
        <v>43</v>
      </c>
      <c r="V483" t="s">
        <v>44</v>
      </c>
      <c r="W483" t="s">
        <v>45</v>
      </c>
      <c r="X483" t="s">
        <v>46</v>
      </c>
      <c r="Y483" t="s">
        <v>47</v>
      </c>
      <c r="AA483" t="s">
        <v>48</v>
      </c>
      <c r="AB483" t="s">
        <v>49</v>
      </c>
      <c r="AC483" t="s">
        <v>50</v>
      </c>
      <c r="AD483" t="s">
        <v>51</v>
      </c>
      <c r="AE483" t="s">
        <v>52</v>
      </c>
      <c r="AF483" t="s">
        <v>53</v>
      </c>
    </row>
    <row r="484" spans="1:32" ht="18" customHeight="1" thickBot="1">
      <c r="A484" s="9" t="s">
        <v>54</v>
      </c>
      <c r="B484" s="10" t="s">
        <v>55</v>
      </c>
      <c r="C484" s="10" t="s">
        <v>56</v>
      </c>
      <c r="D484" s="11" t="s">
        <v>57</v>
      </c>
      <c r="E484" s="9" t="s">
        <v>58</v>
      </c>
      <c r="F484" s="73"/>
      <c r="G484" s="76"/>
      <c r="H484" s="76"/>
      <c r="I484" s="78"/>
      <c r="J484" s="64"/>
      <c r="K484" s="81"/>
      <c r="L484" s="64"/>
      <c r="M484" s="58"/>
      <c r="N484" s="61"/>
      <c r="O484" s="64"/>
      <c r="P484" s="64"/>
      <c r="Q484" s="67"/>
      <c r="R484" s="67"/>
      <c r="U484" t="s">
        <v>59</v>
      </c>
      <c r="V484" t="s">
        <v>60</v>
      </c>
      <c r="W484" t="s">
        <v>61</v>
      </c>
      <c r="X484" t="s">
        <v>62</v>
      </c>
      <c r="Y484" t="s">
        <v>63</v>
      </c>
      <c r="AA484" t="s">
        <v>64</v>
      </c>
      <c r="AB484" t="s">
        <v>65</v>
      </c>
      <c r="AC484" t="s">
        <v>66</v>
      </c>
      <c r="AD484" t="s">
        <v>67</v>
      </c>
      <c r="AE484" t="s">
        <v>68</v>
      </c>
      <c r="AF484" t="s">
        <v>69</v>
      </c>
    </row>
    <row r="485" spans="1:32" ht="22.15" customHeight="1">
      <c r="A485" s="12">
        <v>321</v>
      </c>
      <c r="B485" s="13"/>
      <c r="C485" s="13"/>
      <c r="D485" s="13"/>
      <c r="E485" s="13"/>
      <c r="F485" s="14"/>
      <c r="G485" s="15"/>
      <c r="H485" s="15"/>
      <c r="I485" s="24"/>
      <c r="J485" s="17"/>
      <c r="K485" s="18"/>
      <c r="L485" s="19"/>
      <c r="M485" s="31"/>
      <c r="N485" s="21"/>
      <c r="O485" s="30"/>
      <c r="P485" s="30"/>
      <c r="Q485" s="23"/>
      <c r="R485" s="24"/>
    </row>
    <row r="486" spans="1:32" ht="22.15" customHeight="1">
      <c r="A486" s="12">
        <v>322</v>
      </c>
      <c r="B486" s="13"/>
      <c r="C486" s="13"/>
      <c r="D486" s="13"/>
      <c r="E486" s="13"/>
      <c r="F486" s="14"/>
      <c r="G486" s="15"/>
      <c r="H486" s="15"/>
      <c r="I486" s="24"/>
      <c r="J486" s="17"/>
      <c r="K486" s="18"/>
      <c r="L486" s="19"/>
      <c r="M486" s="31"/>
      <c r="N486" s="21"/>
      <c r="O486" s="30"/>
      <c r="P486" s="30"/>
      <c r="Q486" s="23"/>
      <c r="R486" s="24"/>
    </row>
    <row r="487" spans="1:32" ht="22.15" customHeight="1">
      <c r="A487" s="12">
        <v>323</v>
      </c>
      <c r="B487" s="13"/>
      <c r="C487" s="13"/>
      <c r="D487" s="13"/>
      <c r="E487" s="13"/>
      <c r="F487" s="14"/>
      <c r="G487" s="15"/>
      <c r="H487" s="15"/>
      <c r="I487" s="24"/>
      <c r="J487" s="17"/>
      <c r="K487" s="18"/>
      <c r="L487" s="19"/>
      <c r="M487" s="31"/>
      <c r="N487" s="21"/>
      <c r="O487" s="30"/>
      <c r="P487" s="30"/>
      <c r="Q487" s="23"/>
      <c r="R487" s="24"/>
    </row>
    <row r="488" spans="1:32" ht="22.15" customHeight="1">
      <c r="A488" s="12">
        <v>324</v>
      </c>
      <c r="B488" s="12"/>
      <c r="C488" s="13"/>
      <c r="D488" s="13"/>
      <c r="E488" s="13"/>
      <c r="F488" s="14"/>
      <c r="G488" s="15"/>
      <c r="H488" s="15"/>
      <c r="I488" s="24"/>
      <c r="J488" s="17"/>
      <c r="K488" s="18"/>
      <c r="L488" s="19"/>
      <c r="M488" s="31"/>
      <c r="N488" s="21"/>
      <c r="O488" s="30"/>
      <c r="P488" s="30"/>
      <c r="Q488" s="23"/>
      <c r="R488" s="24"/>
    </row>
    <row r="489" spans="1:32" ht="22.15" customHeight="1">
      <c r="A489" s="12">
        <v>325</v>
      </c>
      <c r="B489" s="12"/>
      <c r="C489" s="13"/>
      <c r="D489" s="13"/>
      <c r="E489" s="13"/>
      <c r="F489" s="14"/>
      <c r="G489" s="15"/>
      <c r="H489" s="15"/>
      <c r="I489" s="24"/>
      <c r="J489" s="17"/>
      <c r="K489" s="18"/>
      <c r="L489" s="19"/>
      <c r="M489" s="31"/>
      <c r="N489" s="21"/>
      <c r="O489" s="30"/>
      <c r="P489" s="30"/>
      <c r="Q489" s="23"/>
      <c r="R489" s="24"/>
    </row>
    <row r="490" spans="1:32" ht="22.15" customHeight="1">
      <c r="A490" s="12">
        <v>326</v>
      </c>
      <c r="B490" s="12"/>
      <c r="C490" s="13"/>
      <c r="D490" s="13"/>
      <c r="E490" s="13"/>
      <c r="F490" s="14"/>
      <c r="G490" s="15"/>
      <c r="H490" s="15"/>
      <c r="I490" s="24"/>
      <c r="J490" s="17"/>
      <c r="K490" s="18"/>
      <c r="L490" s="19"/>
      <c r="M490" s="31"/>
      <c r="N490" s="21"/>
      <c r="O490" s="30"/>
      <c r="P490" s="30"/>
      <c r="Q490" s="23"/>
      <c r="R490" s="24"/>
    </row>
    <row r="491" spans="1:32" ht="22.15" customHeight="1">
      <c r="A491" s="12">
        <v>327</v>
      </c>
      <c r="B491" s="12"/>
      <c r="C491" s="13"/>
      <c r="D491" s="13"/>
      <c r="E491" s="13"/>
      <c r="F491" s="14"/>
      <c r="G491" s="15"/>
      <c r="H491" s="15"/>
      <c r="I491" s="24"/>
      <c r="J491" s="17"/>
      <c r="K491" s="18"/>
      <c r="L491" s="19"/>
      <c r="M491" s="31"/>
      <c r="N491" s="21"/>
      <c r="O491" s="30"/>
      <c r="P491" s="30"/>
      <c r="Q491" s="23"/>
      <c r="R491" s="24"/>
    </row>
    <row r="492" spans="1:32" ht="22.15" customHeight="1">
      <c r="A492" s="12">
        <v>328</v>
      </c>
      <c r="B492" s="12"/>
      <c r="C492" s="13"/>
      <c r="D492" s="13"/>
      <c r="E492" s="13"/>
      <c r="F492" s="14"/>
      <c r="G492" s="15"/>
      <c r="H492" s="15"/>
      <c r="I492" s="24"/>
      <c r="J492" s="17"/>
      <c r="K492" s="18"/>
      <c r="L492" s="19"/>
      <c r="M492" s="31"/>
      <c r="N492" s="21"/>
      <c r="O492" s="30"/>
      <c r="P492" s="30"/>
      <c r="Q492" s="23"/>
      <c r="R492" s="24"/>
    </row>
    <row r="493" spans="1:32" ht="22.15" customHeight="1">
      <c r="A493" s="12">
        <v>329</v>
      </c>
      <c r="B493" s="12"/>
      <c r="C493" s="13"/>
      <c r="D493" s="13"/>
      <c r="E493" s="13"/>
      <c r="F493" s="14"/>
      <c r="G493" s="15"/>
      <c r="H493" s="15"/>
      <c r="I493" s="24"/>
      <c r="J493" s="17"/>
      <c r="K493" s="18"/>
      <c r="L493" s="19"/>
      <c r="M493" s="31"/>
      <c r="N493" s="21"/>
      <c r="O493" s="30"/>
      <c r="P493" s="30"/>
      <c r="Q493" s="23"/>
      <c r="R493" s="24"/>
    </row>
    <row r="494" spans="1:32" ht="22.15" customHeight="1">
      <c r="A494" s="12">
        <v>330</v>
      </c>
      <c r="B494" s="12"/>
      <c r="C494" s="13"/>
      <c r="D494" s="13"/>
      <c r="E494" s="13"/>
      <c r="F494" s="14"/>
      <c r="G494" s="15"/>
      <c r="H494" s="15"/>
      <c r="I494" s="24"/>
      <c r="J494" s="17"/>
      <c r="K494" s="18"/>
      <c r="L494" s="19"/>
      <c r="M494" s="31"/>
      <c r="N494" s="21"/>
      <c r="O494" s="30"/>
      <c r="P494" s="30"/>
      <c r="Q494" s="23"/>
      <c r="R494" s="24"/>
    </row>
    <row r="495" spans="1:32" ht="22.15" customHeight="1">
      <c r="A495" s="12">
        <v>331</v>
      </c>
      <c r="B495" s="12"/>
      <c r="C495" s="13"/>
      <c r="D495" s="13"/>
      <c r="E495" s="13"/>
      <c r="F495" s="14"/>
      <c r="G495" s="15"/>
      <c r="H495" s="15"/>
      <c r="I495" s="24"/>
      <c r="J495" s="17"/>
      <c r="K495" s="18"/>
      <c r="L495" s="19"/>
      <c r="M495" s="31"/>
      <c r="N495" s="21"/>
      <c r="O495" s="30"/>
      <c r="P495" s="30"/>
      <c r="Q495" s="23"/>
      <c r="R495" s="24"/>
    </row>
    <row r="496" spans="1:32" ht="22.15" customHeight="1">
      <c r="A496" s="12">
        <v>332</v>
      </c>
      <c r="B496" s="12"/>
      <c r="C496" s="13"/>
      <c r="D496" s="13"/>
      <c r="E496" s="13"/>
      <c r="F496" s="14"/>
      <c r="G496" s="15"/>
      <c r="H496" s="15"/>
      <c r="I496" s="24"/>
      <c r="J496" s="17"/>
      <c r="K496" s="18"/>
      <c r="L496" s="19"/>
      <c r="M496" s="31"/>
      <c r="N496" s="21"/>
      <c r="O496" s="30"/>
      <c r="P496" s="30"/>
      <c r="Q496" s="23"/>
      <c r="R496" s="24"/>
    </row>
    <row r="497" spans="1:32" ht="22.15" customHeight="1">
      <c r="A497" s="12">
        <v>333</v>
      </c>
      <c r="B497" s="12"/>
      <c r="C497" s="13"/>
      <c r="D497" s="13"/>
      <c r="E497" s="13"/>
      <c r="F497" s="14"/>
      <c r="G497" s="15"/>
      <c r="H497" s="15"/>
      <c r="I497" s="24"/>
      <c r="J497" s="17"/>
      <c r="K497" s="18"/>
      <c r="L497" s="19"/>
      <c r="M497" s="31"/>
      <c r="N497" s="21"/>
      <c r="O497" s="30"/>
      <c r="P497" s="30"/>
      <c r="Q497" s="23"/>
      <c r="R497" s="24"/>
    </row>
    <row r="498" spans="1:32" ht="22.15" customHeight="1">
      <c r="A498" s="12">
        <v>334</v>
      </c>
      <c r="B498" s="12"/>
      <c r="C498" s="13"/>
      <c r="D498" s="13"/>
      <c r="E498" s="13"/>
      <c r="F498" s="14"/>
      <c r="G498" s="15"/>
      <c r="H498" s="15"/>
      <c r="I498" s="24"/>
      <c r="J498" s="17"/>
      <c r="K498" s="18"/>
      <c r="L498" s="19"/>
      <c r="M498" s="31"/>
      <c r="N498" s="21"/>
      <c r="O498" s="30"/>
      <c r="P498" s="30"/>
      <c r="Q498" s="23"/>
      <c r="R498" s="24"/>
    </row>
    <row r="499" spans="1:32" ht="22.15" customHeight="1">
      <c r="A499" s="12">
        <v>335</v>
      </c>
      <c r="B499" s="12"/>
      <c r="C499" s="13"/>
      <c r="D499" s="13"/>
      <c r="E499" s="13"/>
      <c r="F499" s="14"/>
      <c r="G499" s="15"/>
      <c r="H499" s="15"/>
      <c r="I499" s="24"/>
      <c r="J499" s="17"/>
      <c r="K499" s="18"/>
      <c r="L499" s="19"/>
      <c r="M499" s="31"/>
      <c r="N499" s="21"/>
      <c r="O499" s="30"/>
      <c r="P499" s="30"/>
      <c r="Q499" s="23"/>
      <c r="R499" s="24"/>
    </row>
    <row r="500" spans="1:32" ht="22.15" customHeight="1">
      <c r="A500" s="12">
        <v>336</v>
      </c>
      <c r="B500" s="12"/>
      <c r="C500" s="13"/>
      <c r="D500" s="13"/>
      <c r="E500" s="13"/>
      <c r="F500" s="14"/>
      <c r="G500" s="15"/>
      <c r="H500" s="15"/>
      <c r="I500" s="24"/>
      <c r="J500" s="17"/>
      <c r="K500" s="18"/>
      <c r="L500" s="19"/>
      <c r="M500" s="31"/>
      <c r="N500" s="21"/>
      <c r="O500" s="30"/>
      <c r="P500" s="30"/>
      <c r="Q500" s="23"/>
      <c r="R500" s="24"/>
    </row>
    <row r="501" spans="1:32" ht="22.15" customHeight="1">
      <c r="A501" s="12">
        <v>337</v>
      </c>
      <c r="B501" s="12"/>
      <c r="C501" s="13"/>
      <c r="D501" s="13"/>
      <c r="E501" s="13"/>
      <c r="F501" s="14"/>
      <c r="G501" s="15"/>
      <c r="H501" s="15"/>
      <c r="I501" s="24"/>
      <c r="J501" s="17"/>
      <c r="K501" s="18"/>
      <c r="L501" s="19"/>
      <c r="M501" s="31"/>
      <c r="N501" s="21"/>
      <c r="O501" s="30"/>
      <c r="P501" s="30"/>
      <c r="Q501" s="23"/>
      <c r="R501" s="24"/>
    </row>
    <row r="502" spans="1:32" ht="22.15" customHeight="1">
      <c r="A502" s="12">
        <v>338</v>
      </c>
      <c r="B502" s="12"/>
      <c r="C502" s="13"/>
      <c r="D502" s="13"/>
      <c r="E502" s="13"/>
      <c r="F502" s="14"/>
      <c r="G502" s="15"/>
      <c r="H502" s="15"/>
      <c r="I502" s="24"/>
      <c r="J502" s="17"/>
      <c r="K502" s="18"/>
      <c r="L502" s="19"/>
      <c r="M502" s="31"/>
      <c r="N502" s="21"/>
      <c r="O502" s="30"/>
      <c r="P502" s="30"/>
      <c r="Q502" s="23"/>
      <c r="R502" s="24"/>
    </row>
    <row r="503" spans="1:32" ht="22.15" customHeight="1">
      <c r="A503" s="12">
        <v>339</v>
      </c>
      <c r="B503" s="12"/>
      <c r="C503" s="13"/>
      <c r="D503" s="13"/>
      <c r="E503" s="13"/>
      <c r="F503" s="14"/>
      <c r="G503" s="15"/>
      <c r="H503" s="15"/>
      <c r="I503" s="24"/>
      <c r="J503" s="17"/>
      <c r="K503" s="18"/>
      <c r="L503" s="19"/>
      <c r="M503" s="31"/>
      <c r="N503" s="21"/>
      <c r="O503" s="30"/>
      <c r="P503" s="30"/>
      <c r="Q503" s="23"/>
      <c r="R503" s="24"/>
    </row>
    <row r="504" spans="1:32" ht="22.15" customHeight="1">
      <c r="A504" s="12">
        <v>340</v>
      </c>
      <c r="B504" s="12"/>
      <c r="C504" s="13"/>
      <c r="D504" s="13"/>
      <c r="E504" s="13"/>
      <c r="F504" s="14"/>
      <c r="G504" s="15"/>
      <c r="H504" s="15"/>
      <c r="I504" s="24"/>
      <c r="J504" s="17"/>
      <c r="K504" s="18"/>
      <c r="L504" s="19"/>
      <c r="M504" s="31"/>
      <c r="N504" s="21"/>
      <c r="O504" s="30"/>
      <c r="P504" s="30"/>
      <c r="Q504" s="23"/>
      <c r="R504" s="24"/>
    </row>
    <row r="505" spans="1:32" ht="18" customHeight="1">
      <c r="A505" s="47" t="s">
        <v>302</v>
      </c>
      <c r="B505" s="48"/>
      <c r="C505" s="48"/>
      <c r="D505" s="48"/>
      <c r="E505" s="49"/>
      <c r="F505" s="50" t="s">
        <v>183</v>
      </c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2"/>
    </row>
    <row r="506" spans="1:32" ht="18" customHeight="1">
      <c r="A506" s="12">
        <v>1</v>
      </c>
      <c r="B506" s="47" t="s">
        <v>187</v>
      </c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9"/>
      <c r="AA506" s="27" t="s">
        <v>188</v>
      </c>
      <c r="AB506" s="27" t="s">
        <v>189</v>
      </c>
      <c r="AC506" s="27" t="s">
        <v>190</v>
      </c>
    </row>
    <row r="507" spans="1:32" ht="18" customHeight="1">
      <c r="A507" s="23">
        <v>2</v>
      </c>
      <c r="B507" s="53" t="s">
        <v>191</v>
      </c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5"/>
      <c r="U507" t="s">
        <v>192</v>
      </c>
      <c r="V507" s="16" t="s">
        <v>193</v>
      </c>
      <c r="W507" t="s">
        <v>194</v>
      </c>
      <c r="Y507" t="s">
        <v>195</v>
      </c>
      <c r="AA507" s="16" t="s">
        <v>173</v>
      </c>
      <c r="AB507" s="16" t="s">
        <v>174</v>
      </c>
      <c r="AC507" s="16" t="s">
        <v>139</v>
      </c>
      <c r="AD507" s="16" t="s">
        <v>196</v>
      </c>
    </row>
    <row r="508" spans="1:32" ht="18" customHeight="1">
      <c r="A508" s="23">
        <v>3</v>
      </c>
      <c r="B508" s="47" t="s">
        <v>197</v>
      </c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9"/>
      <c r="V508" s="16" t="s">
        <v>198</v>
      </c>
      <c r="X508" s="16" t="s">
        <v>199</v>
      </c>
      <c r="Y508" t="s">
        <v>200</v>
      </c>
      <c r="AA508" s="16" t="s">
        <v>179</v>
      </c>
      <c r="AB508" s="16" t="s">
        <v>180</v>
      </c>
      <c r="AC508" s="16" t="s">
        <v>147</v>
      </c>
      <c r="AD508" s="16" t="s">
        <v>201</v>
      </c>
    </row>
    <row r="509" spans="1:32" ht="18" customHeight="1">
      <c r="A509" s="37" t="s">
        <v>202</v>
      </c>
      <c r="B509" s="38"/>
      <c r="C509" s="39">
        <f>C389</f>
        <v>0</v>
      </c>
      <c r="D509" s="39"/>
      <c r="E509" s="37" t="s">
        <v>203</v>
      </c>
      <c r="F509" s="40"/>
      <c r="G509" s="41">
        <f>G389</f>
        <v>0</v>
      </c>
      <c r="H509" s="42"/>
      <c r="I509" s="42"/>
      <c r="J509" s="42"/>
      <c r="K509" s="28" t="s">
        <v>204</v>
      </c>
      <c r="L509" s="43" t="s">
        <v>205</v>
      </c>
      <c r="M509" s="43"/>
      <c r="N509" s="43"/>
      <c r="O509" s="43"/>
      <c r="P509" s="43"/>
      <c r="Q509" s="43"/>
      <c r="R509" s="43"/>
      <c r="U509" t="s">
        <v>206</v>
      </c>
      <c r="W509" s="16" t="s">
        <v>207</v>
      </c>
      <c r="X509" s="16" t="s">
        <v>208</v>
      </c>
    </row>
    <row r="510" spans="1:32" ht="18" customHeight="1">
      <c r="A510" s="37" t="s">
        <v>209</v>
      </c>
      <c r="B510" s="38"/>
      <c r="C510" s="82">
        <f>C390</f>
        <v>0</v>
      </c>
      <c r="D510" s="82"/>
      <c r="E510" s="37" t="s">
        <v>210</v>
      </c>
      <c r="F510" s="40"/>
      <c r="G510" s="41">
        <f>G390</f>
        <v>0</v>
      </c>
      <c r="H510" s="42"/>
      <c r="I510" s="42"/>
      <c r="J510" s="42"/>
      <c r="K510" s="28" t="s">
        <v>204</v>
      </c>
      <c r="L510" s="43" t="s">
        <v>205</v>
      </c>
      <c r="M510" s="43"/>
      <c r="N510" s="43"/>
      <c r="O510" s="43"/>
      <c r="P510" s="43"/>
      <c r="Q510" s="43"/>
      <c r="R510" s="43"/>
      <c r="V510" s="16" t="s">
        <v>211</v>
      </c>
      <c r="W510" s="16" t="s">
        <v>212</v>
      </c>
      <c r="Y510" t="s">
        <v>213</v>
      </c>
      <c r="AA510" s="16" t="s">
        <v>214</v>
      </c>
      <c r="AB510" s="16" t="s">
        <v>214</v>
      </c>
      <c r="AC510" s="16" t="s">
        <v>215</v>
      </c>
      <c r="AD510" s="16" t="s">
        <v>216</v>
      </c>
    </row>
    <row r="511" spans="1:32" ht="48" customHeight="1">
      <c r="A511" s="69" t="s">
        <v>0</v>
      </c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1" t="s">
        <v>1</v>
      </c>
      <c r="M511" s="71"/>
      <c r="N511" s="71"/>
      <c r="O511" s="71"/>
      <c r="P511" s="71"/>
      <c r="Q511" s="1" t="s">
        <v>2</v>
      </c>
      <c r="R511" s="2" t="s">
        <v>3</v>
      </c>
      <c r="S511" s="3"/>
      <c r="T511" s="3" t="s">
        <v>4</v>
      </c>
      <c r="U511" s="4" t="s">
        <v>5</v>
      </c>
      <c r="V511" s="4" t="s">
        <v>6</v>
      </c>
      <c r="W511" s="4" t="s">
        <v>7</v>
      </c>
      <c r="X511" s="4" t="s">
        <v>8</v>
      </c>
      <c r="Y511" s="4" t="s">
        <v>9</v>
      </c>
      <c r="Z511" s="4"/>
      <c r="AA511" s="4" t="s">
        <v>10</v>
      </c>
      <c r="AB511" s="4" t="s">
        <v>11</v>
      </c>
      <c r="AC511" s="4" t="s">
        <v>12</v>
      </c>
      <c r="AD511" s="4" t="s">
        <v>13</v>
      </c>
      <c r="AE511" s="4" t="s">
        <v>14</v>
      </c>
      <c r="AF511" s="4" t="s">
        <v>15</v>
      </c>
    </row>
    <row r="512" spans="1:32" s="8" customFormat="1" ht="18" customHeight="1">
      <c r="A512" s="5" t="s">
        <v>16</v>
      </c>
      <c r="B512" s="44">
        <f>B362</f>
        <v>0</v>
      </c>
      <c r="C512" s="45"/>
      <c r="D512" s="45"/>
      <c r="E512" s="6" t="str">
        <f>E362</f>
        <v>Version:1</v>
      </c>
      <c r="F512" s="72" t="s">
        <v>18</v>
      </c>
      <c r="G512" s="74" t="s">
        <v>19</v>
      </c>
      <c r="H512" s="74" t="s">
        <v>20</v>
      </c>
      <c r="I512" s="77" t="s">
        <v>21</v>
      </c>
      <c r="J512" s="62" t="s">
        <v>22</v>
      </c>
      <c r="K512" s="79" t="s">
        <v>23</v>
      </c>
      <c r="L512" s="62" t="s">
        <v>24</v>
      </c>
      <c r="M512" s="56" t="s">
        <v>25</v>
      </c>
      <c r="N512" s="59" t="s">
        <v>26</v>
      </c>
      <c r="O512" s="62" t="s">
        <v>27</v>
      </c>
      <c r="P512" s="65" t="s">
        <v>28</v>
      </c>
      <c r="Q512" s="66" t="s">
        <v>29</v>
      </c>
      <c r="R512" s="68" t="s">
        <v>30</v>
      </c>
      <c r="S512"/>
      <c r="T512" s="7" t="str">
        <f>IF(C545&gt;18,IF(C545=20,Nennweite20,IF(C545=60,U514,IF(C545=50,Nennweite50,IF(C545=25,Nennweite25,IF(C545=32,Nennweite32,IF(C545=40,Nennweite40,"&gt;")))))),IF(C545=8,Nennweite8,IF(C545=6,Nennweite6,IF(C545=10,Nennweite10,IF(C545=18,Nennweite18,IF(C545=16,Nennweite16,IF(C545=12,Nennweite12,"")))))))</f>
        <v/>
      </c>
      <c r="U512" t="s">
        <v>31</v>
      </c>
      <c r="V512" t="s">
        <v>32</v>
      </c>
      <c r="W512" t="s">
        <v>33</v>
      </c>
      <c r="X512" t="s">
        <v>34</v>
      </c>
      <c r="Y512" t="s">
        <v>35</v>
      </c>
      <c r="Z512"/>
      <c r="AA512" t="s">
        <v>36</v>
      </c>
      <c r="AB512" t="s">
        <v>37</v>
      </c>
      <c r="AC512" t="s">
        <v>38</v>
      </c>
      <c r="AD512" t="s">
        <v>39</v>
      </c>
      <c r="AE512" t="s">
        <v>40</v>
      </c>
      <c r="AF512" t="s">
        <v>41</v>
      </c>
    </row>
    <row r="513" spans="1:32" ht="18" customHeight="1">
      <c r="A513" s="5" t="s">
        <v>42</v>
      </c>
      <c r="B513" s="44">
        <f>B363</f>
        <v>0</v>
      </c>
      <c r="C513" s="45"/>
      <c r="D513" s="45"/>
      <c r="E513" s="46"/>
      <c r="F513" s="72"/>
      <c r="G513" s="75"/>
      <c r="H513" s="75"/>
      <c r="I513" s="77"/>
      <c r="J513" s="63"/>
      <c r="K513" s="80"/>
      <c r="L513" s="63"/>
      <c r="M513" s="57"/>
      <c r="N513" s="60"/>
      <c r="O513" s="63"/>
      <c r="P513" s="63"/>
      <c r="Q513" s="66"/>
      <c r="R513" s="66"/>
      <c r="U513" t="s">
        <v>43</v>
      </c>
      <c r="V513" t="s">
        <v>44</v>
      </c>
      <c r="W513" t="s">
        <v>45</v>
      </c>
      <c r="X513" t="s">
        <v>46</v>
      </c>
      <c r="Y513" t="s">
        <v>47</v>
      </c>
      <c r="AA513" t="s">
        <v>48</v>
      </c>
      <c r="AB513" t="s">
        <v>49</v>
      </c>
      <c r="AC513" t="s">
        <v>50</v>
      </c>
      <c r="AD513" t="s">
        <v>51</v>
      </c>
      <c r="AE513" t="s">
        <v>52</v>
      </c>
      <c r="AF513" t="s">
        <v>53</v>
      </c>
    </row>
    <row r="514" spans="1:32" ht="18" customHeight="1" thickBot="1">
      <c r="A514" s="9" t="s">
        <v>54</v>
      </c>
      <c r="B514" s="10" t="s">
        <v>55</v>
      </c>
      <c r="C514" s="10" t="s">
        <v>56</v>
      </c>
      <c r="D514" s="11" t="s">
        <v>57</v>
      </c>
      <c r="E514" s="9" t="s">
        <v>58</v>
      </c>
      <c r="F514" s="73"/>
      <c r="G514" s="76"/>
      <c r="H514" s="76"/>
      <c r="I514" s="78"/>
      <c r="J514" s="64"/>
      <c r="K514" s="81"/>
      <c r="L514" s="64"/>
      <c r="M514" s="58"/>
      <c r="N514" s="61"/>
      <c r="O514" s="64"/>
      <c r="P514" s="64"/>
      <c r="Q514" s="67"/>
      <c r="R514" s="67"/>
      <c r="U514" t="s">
        <v>59</v>
      </c>
      <c r="V514" t="s">
        <v>60</v>
      </c>
      <c r="W514" t="s">
        <v>61</v>
      </c>
      <c r="X514" t="s">
        <v>62</v>
      </c>
      <c r="Y514" t="s">
        <v>63</v>
      </c>
      <c r="AA514" t="s">
        <v>64</v>
      </c>
      <c r="AB514" t="s">
        <v>65</v>
      </c>
      <c r="AC514" t="s">
        <v>66</v>
      </c>
      <c r="AD514" t="s">
        <v>67</v>
      </c>
      <c r="AE514" t="s">
        <v>68</v>
      </c>
      <c r="AF514" t="s">
        <v>69</v>
      </c>
    </row>
    <row r="515" spans="1:32" ht="22.15" customHeight="1">
      <c r="A515" s="12">
        <v>341</v>
      </c>
      <c r="B515" s="13"/>
      <c r="C515" s="13"/>
      <c r="D515" s="13"/>
      <c r="E515" s="13"/>
      <c r="F515" s="14"/>
      <c r="G515" s="15"/>
      <c r="H515" s="15"/>
      <c r="I515" s="24"/>
      <c r="J515" s="17"/>
      <c r="K515" s="18"/>
      <c r="L515" s="19"/>
      <c r="M515" s="31"/>
      <c r="N515" s="21"/>
      <c r="O515" s="30"/>
      <c r="P515" s="30"/>
      <c r="Q515" s="23"/>
      <c r="R515" s="24"/>
      <c r="U515" t="s">
        <v>70</v>
      </c>
      <c r="V515" t="s">
        <v>71</v>
      </c>
      <c r="W515" t="s">
        <v>72</v>
      </c>
      <c r="X515" t="s">
        <v>73</v>
      </c>
      <c r="Y515" t="s">
        <v>74</v>
      </c>
      <c r="AA515" t="s">
        <v>75</v>
      </c>
      <c r="AB515" t="s">
        <v>76</v>
      </c>
      <c r="AC515" t="s">
        <v>77</v>
      </c>
      <c r="AD515" t="s">
        <v>78</v>
      </c>
      <c r="AE515" t="s">
        <v>79</v>
      </c>
    </row>
    <row r="516" spans="1:32" ht="22.15" customHeight="1">
      <c r="A516" s="12">
        <v>342</v>
      </c>
      <c r="B516" s="13"/>
      <c r="C516" s="13"/>
      <c r="D516" s="13"/>
      <c r="E516" s="13"/>
      <c r="F516" s="14"/>
      <c r="G516" s="15"/>
      <c r="H516" s="15"/>
      <c r="I516" s="24"/>
      <c r="J516" s="17"/>
      <c r="K516" s="18"/>
      <c r="L516" s="19"/>
      <c r="M516" s="31"/>
      <c r="N516" s="21"/>
      <c r="O516" s="30"/>
      <c r="P516" s="30"/>
      <c r="Q516" s="23"/>
      <c r="R516" s="24"/>
      <c r="U516" t="s">
        <v>80</v>
      </c>
      <c r="X516" t="s">
        <v>81</v>
      </c>
      <c r="Y516" t="s">
        <v>82</v>
      </c>
      <c r="AA516" t="s">
        <v>83</v>
      </c>
      <c r="AB516" t="s">
        <v>84</v>
      </c>
      <c r="AC516" t="s">
        <v>85</v>
      </c>
      <c r="AD516" t="s">
        <v>86</v>
      </c>
      <c r="AE516" t="s">
        <v>87</v>
      </c>
    </row>
    <row r="517" spans="1:32" ht="22.15" customHeight="1">
      <c r="A517" s="12">
        <v>343</v>
      </c>
      <c r="B517" s="13"/>
      <c r="C517" s="13"/>
      <c r="D517" s="13"/>
      <c r="E517" s="13"/>
      <c r="F517" s="14"/>
      <c r="G517" s="15"/>
      <c r="H517" s="15"/>
      <c r="I517" s="24"/>
      <c r="J517" s="17"/>
      <c r="K517" s="18"/>
      <c r="L517" s="19"/>
      <c r="M517" s="31"/>
      <c r="N517" s="21"/>
      <c r="O517" s="30"/>
      <c r="P517" s="30"/>
      <c r="Q517" s="23"/>
      <c r="R517" s="24"/>
      <c r="U517" t="s">
        <v>88</v>
      </c>
      <c r="V517" t="s">
        <v>89</v>
      </c>
      <c r="W517" t="s">
        <v>90</v>
      </c>
      <c r="X517" t="s">
        <v>91</v>
      </c>
      <c r="Y517" t="s">
        <v>92</v>
      </c>
      <c r="AA517" t="s">
        <v>93</v>
      </c>
      <c r="AB517" t="s">
        <v>94</v>
      </c>
      <c r="AC517" t="s">
        <v>95</v>
      </c>
      <c r="AD517" t="s">
        <v>96</v>
      </c>
      <c r="AE517" t="s">
        <v>97</v>
      </c>
    </row>
    <row r="518" spans="1:32" ht="22.15" customHeight="1">
      <c r="A518" s="12">
        <v>344</v>
      </c>
      <c r="B518" s="12"/>
      <c r="C518" s="13"/>
      <c r="D518" s="13"/>
      <c r="E518" s="13"/>
      <c r="F518" s="14"/>
      <c r="G518" s="15"/>
      <c r="H518" s="15"/>
      <c r="I518" s="24"/>
      <c r="J518" s="17"/>
      <c r="K518" s="18"/>
      <c r="L518" s="19"/>
      <c r="M518" s="31"/>
      <c r="N518" s="21"/>
      <c r="O518" s="30"/>
      <c r="P518" s="30"/>
      <c r="Q518" s="23"/>
      <c r="R518" s="24"/>
      <c r="V518" t="s">
        <v>98</v>
      </c>
      <c r="W518" t="s">
        <v>99</v>
      </c>
    </row>
    <row r="519" spans="1:32" ht="22.15" customHeight="1">
      <c r="A519" s="12">
        <v>345</v>
      </c>
      <c r="B519" s="12"/>
      <c r="C519" s="13"/>
      <c r="D519" s="13"/>
      <c r="E519" s="13"/>
      <c r="F519" s="14"/>
      <c r="G519" s="15"/>
      <c r="H519" s="15"/>
      <c r="I519" s="24"/>
      <c r="J519" s="17"/>
      <c r="K519" s="18"/>
      <c r="L519" s="19"/>
      <c r="M519" s="31"/>
      <c r="N519" s="21"/>
      <c r="O519" s="30"/>
      <c r="P519" s="30"/>
      <c r="Q519" s="23"/>
      <c r="R519" s="24"/>
      <c r="U519" t="s">
        <v>100</v>
      </c>
      <c r="V519" t="s">
        <v>101</v>
      </c>
      <c r="W519" t="s">
        <v>102</v>
      </c>
      <c r="X519" t="s">
        <v>103</v>
      </c>
      <c r="Y519" t="s">
        <v>103</v>
      </c>
      <c r="AA519" t="s">
        <v>104</v>
      </c>
      <c r="AB519" t="s">
        <v>105</v>
      </c>
      <c r="AC519" t="s">
        <v>106</v>
      </c>
      <c r="AD519" t="s">
        <v>40</v>
      </c>
      <c r="AE519" t="s">
        <v>107</v>
      </c>
    </row>
    <row r="520" spans="1:32" ht="22.15" customHeight="1">
      <c r="A520" s="12">
        <v>346</v>
      </c>
      <c r="B520" s="12"/>
      <c r="C520" s="13"/>
      <c r="D520" s="13"/>
      <c r="E520" s="13"/>
      <c r="F520" s="14"/>
      <c r="G520" s="15"/>
      <c r="H520" s="15"/>
      <c r="I520" s="24"/>
      <c r="J520" s="17"/>
      <c r="K520" s="18"/>
      <c r="L520" s="19"/>
      <c r="M520" s="31"/>
      <c r="N520" s="21"/>
      <c r="O520" s="30"/>
      <c r="P520" s="30"/>
      <c r="Q520" s="23"/>
      <c r="R520" s="24"/>
      <c r="X520" t="s">
        <v>108</v>
      </c>
      <c r="Y520" t="s">
        <v>108</v>
      </c>
      <c r="AA520" t="s">
        <v>109</v>
      </c>
      <c r="AB520" t="s">
        <v>110</v>
      </c>
      <c r="AC520" t="s">
        <v>111</v>
      </c>
      <c r="AD520" t="s">
        <v>52</v>
      </c>
    </row>
    <row r="521" spans="1:32" ht="22.15" customHeight="1">
      <c r="A521" s="12">
        <v>347</v>
      </c>
      <c r="B521" s="12"/>
      <c r="C521" s="13"/>
      <c r="D521" s="13"/>
      <c r="E521" s="13"/>
      <c r="F521" s="14"/>
      <c r="G521" s="15"/>
      <c r="H521" s="15"/>
      <c r="I521" s="24"/>
      <c r="J521" s="17"/>
      <c r="K521" s="18"/>
      <c r="L521" s="19"/>
      <c r="M521" s="31"/>
      <c r="N521" s="21"/>
      <c r="O521" s="30"/>
      <c r="P521" s="30"/>
      <c r="Q521" s="23"/>
      <c r="R521" s="24"/>
      <c r="U521" t="s">
        <v>112</v>
      </c>
      <c r="V521" t="s">
        <v>113</v>
      </c>
      <c r="W521" t="s">
        <v>114</v>
      </c>
      <c r="X521" t="s">
        <v>115</v>
      </c>
      <c r="Y521" t="s">
        <v>116</v>
      </c>
      <c r="AA521" t="s">
        <v>117</v>
      </c>
      <c r="AB521" t="s">
        <v>118</v>
      </c>
      <c r="AC521" t="s">
        <v>119</v>
      </c>
      <c r="AD521" t="s">
        <v>68</v>
      </c>
      <c r="AE521" t="s">
        <v>120</v>
      </c>
    </row>
    <row r="522" spans="1:32" ht="22.15" customHeight="1">
      <c r="A522" s="12">
        <v>348</v>
      </c>
      <c r="B522" s="12"/>
      <c r="C522" s="13"/>
      <c r="D522" s="13"/>
      <c r="E522" s="13"/>
      <c r="F522" s="14"/>
      <c r="G522" s="15"/>
      <c r="H522" s="15"/>
      <c r="I522" s="24"/>
      <c r="J522" s="17"/>
      <c r="K522" s="18"/>
      <c r="L522" s="19"/>
      <c r="M522" s="31"/>
      <c r="N522" s="21"/>
      <c r="O522" s="30"/>
      <c r="P522" s="30"/>
      <c r="Q522" s="23"/>
      <c r="R522" s="24"/>
      <c r="V522" t="s">
        <v>121</v>
      </c>
      <c r="W522" t="s">
        <v>122</v>
      </c>
      <c r="AE522" t="s">
        <v>123</v>
      </c>
    </row>
    <row r="523" spans="1:32" ht="22.15" customHeight="1">
      <c r="A523" s="12">
        <v>349</v>
      </c>
      <c r="B523" s="12"/>
      <c r="C523" s="13"/>
      <c r="D523" s="13"/>
      <c r="E523" s="13"/>
      <c r="F523" s="14"/>
      <c r="G523" s="15"/>
      <c r="H523" s="15"/>
      <c r="I523" s="24"/>
      <c r="J523" s="17"/>
      <c r="K523" s="18"/>
      <c r="L523" s="19"/>
      <c r="M523" s="31"/>
      <c r="N523" s="21"/>
      <c r="O523" s="30"/>
      <c r="P523" s="30"/>
      <c r="Q523" s="23"/>
      <c r="R523" s="24"/>
      <c r="U523" t="s">
        <v>124</v>
      </c>
      <c r="V523" t="s">
        <v>125</v>
      </c>
      <c r="W523" t="s">
        <v>126</v>
      </c>
      <c r="X523" t="s">
        <v>127</v>
      </c>
      <c r="Y523" t="s">
        <v>128</v>
      </c>
      <c r="AA523" t="s">
        <v>128</v>
      </c>
      <c r="AB523" t="s">
        <v>129</v>
      </c>
      <c r="AC523" t="s">
        <v>130</v>
      </c>
      <c r="AD523" t="s">
        <v>131</v>
      </c>
      <c r="AE523" t="s">
        <v>132</v>
      </c>
    </row>
    <row r="524" spans="1:32" ht="22.15" customHeight="1">
      <c r="A524" s="12">
        <v>350</v>
      </c>
      <c r="B524" s="12"/>
      <c r="C524" s="13"/>
      <c r="D524" s="13"/>
      <c r="E524" s="13"/>
      <c r="F524" s="14"/>
      <c r="G524" s="15"/>
      <c r="H524" s="15"/>
      <c r="I524" s="24"/>
      <c r="J524" s="17"/>
      <c r="K524" s="18"/>
      <c r="L524" s="19"/>
      <c r="M524" s="31"/>
      <c r="N524" s="21"/>
      <c r="O524" s="30"/>
      <c r="P524" s="30"/>
      <c r="Q524" s="23"/>
      <c r="R524" s="24"/>
      <c r="U524" t="s">
        <v>134</v>
      </c>
      <c r="X524" t="s">
        <v>135</v>
      </c>
      <c r="Y524" t="s">
        <v>136</v>
      </c>
      <c r="AA524" t="s">
        <v>136</v>
      </c>
      <c r="AB524" t="s">
        <v>137</v>
      </c>
      <c r="AC524" t="s">
        <v>138</v>
      </c>
      <c r="AD524" t="s">
        <v>139</v>
      </c>
    </row>
    <row r="525" spans="1:32" ht="22.15" customHeight="1">
      <c r="A525" s="12">
        <v>351</v>
      </c>
      <c r="B525" s="12"/>
      <c r="C525" s="13"/>
      <c r="D525" s="13"/>
      <c r="E525" s="13"/>
      <c r="F525" s="14"/>
      <c r="G525" s="15"/>
      <c r="H525" s="15"/>
      <c r="I525" s="24"/>
      <c r="J525" s="17"/>
      <c r="K525" s="18"/>
      <c r="L525" s="19"/>
      <c r="M525" s="31"/>
      <c r="N525" s="21"/>
      <c r="O525" s="30"/>
      <c r="P525" s="30"/>
      <c r="Q525" s="23"/>
      <c r="R525" s="24"/>
      <c r="U525" t="s">
        <v>140</v>
      </c>
      <c r="V525" t="s">
        <v>141</v>
      </c>
      <c r="W525" t="s">
        <v>142</v>
      </c>
      <c r="X525" t="s">
        <v>143</v>
      </c>
      <c r="Y525" t="s">
        <v>144</v>
      </c>
      <c r="AA525" t="s">
        <v>144</v>
      </c>
      <c r="AB525" t="s">
        <v>145</v>
      </c>
      <c r="AC525" t="s">
        <v>146</v>
      </c>
      <c r="AD525" t="s">
        <v>147</v>
      </c>
    </row>
    <row r="526" spans="1:32" ht="22.15" customHeight="1">
      <c r="A526" s="12">
        <v>352</v>
      </c>
      <c r="B526" s="12"/>
      <c r="C526" s="13"/>
      <c r="D526" s="13"/>
      <c r="E526" s="13"/>
      <c r="F526" s="14"/>
      <c r="G526" s="15"/>
      <c r="H526" s="15"/>
      <c r="I526" s="24"/>
      <c r="J526" s="17"/>
      <c r="K526" s="18"/>
      <c r="L526" s="19"/>
      <c r="M526" s="31"/>
      <c r="N526" s="21"/>
      <c r="O526" s="30"/>
      <c r="P526" s="30"/>
      <c r="Q526" s="23"/>
      <c r="R526" s="24"/>
      <c r="V526" t="s">
        <v>148</v>
      </c>
    </row>
    <row r="527" spans="1:32" ht="22.15" customHeight="1">
      <c r="A527" s="12">
        <v>353</v>
      </c>
      <c r="B527" s="12"/>
      <c r="C527" s="13"/>
      <c r="D527" s="13"/>
      <c r="E527" s="13"/>
      <c r="F527" s="14"/>
      <c r="G527" s="15"/>
      <c r="H527" s="15"/>
      <c r="I527" s="24"/>
      <c r="J527" s="17"/>
      <c r="K527" s="18"/>
      <c r="L527" s="19"/>
      <c r="M527" s="31"/>
      <c r="N527" s="21"/>
      <c r="O527" s="30"/>
      <c r="P527" s="30"/>
      <c r="Q527" s="23"/>
      <c r="R527" s="24"/>
      <c r="U527" t="s">
        <v>149</v>
      </c>
      <c r="W527" t="s">
        <v>150</v>
      </c>
      <c r="X527" t="s">
        <v>151</v>
      </c>
      <c r="Y527" t="s">
        <v>127</v>
      </c>
      <c r="AA527" t="s">
        <v>129</v>
      </c>
      <c r="AB527" t="s">
        <v>130</v>
      </c>
      <c r="AC527" t="s">
        <v>78</v>
      </c>
      <c r="AD527" t="s">
        <v>152</v>
      </c>
    </row>
    <row r="528" spans="1:32" ht="22.15" customHeight="1">
      <c r="A528" s="12">
        <v>354</v>
      </c>
      <c r="B528" s="12"/>
      <c r="C528" s="13"/>
      <c r="D528" s="13"/>
      <c r="E528" s="13"/>
      <c r="F528" s="14"/>
      <c r="G528" s="15"/>
      <c r="H528" s="15"/>
      <c r="I528" s="24"/>
      <c r="J528" s="17"/>
      <c r="K528" s="18"/>
      <c r="L528" s="19"/>
      <c r="M528" s="31"/>
      <c r="N528" s="21"/>
      <c r="O528" s="30"/>
      <c r="P528" s="30"/>
      <c r="Q528" s="23"/>
      <c r="R528" s="24"/>
      <c r="U528" t="s">
        <v>153</v>
      </c>
      <c r="V528" t="s">
        <v>154</v>
      </c>
      <c r="W528" t="s">
        <v>155</v>
      </c>
      <c r="X528" t="s">
        <v>156</v>
      </c>
      <c r="Y528" t="s">
        <v>135</v>
      </c>
      <c r="AA528" t="s">
        <v>137</v>
      </c>
      <c r="AB528" t="s">
        <v>138</v>
      </c>
      <c r="AC528" t="s">
        <v>86</v>
      </c>
      <c r="AD528" t="s">
        <v>157</v>
      </c>
    </row>
    <row r="529" spans="1:32" ht="22.15" customHeight="1">
      <c r="A529" s="12">
        <v>355</v>
      </c>
      <c r="B529" s="12"/>
      <c r="C529" s="13"/>
      <c r="D529" s="13"/>
      <c r="E529" s="13"/>
      <c r="F529" s="14"/>
      <c r="G529" s="15"/>
      <c r="H529" s="15"/>
      <c r="I529" s="24"/>
      <c r="J529" s="17"/>
      <c r="K529" s="18"/>
      <c r="L529" s="19"/>
      <c r="M529" s="31"/>
      <c r="N529" s="21"/>
      <c r="O529" s="30"/>
      <c r="P529" s="30"/>
      <c r="Q529" s="23"/>
      <c r="R529" s="24"/>
      <c r="U529" t="s">
        <v>158</v>
      </c>
      <c r="V529" t="s">
        <v>159</v>
      </c>
      <c r="X529" t="s">
        <v>160</v>
      </c>
      <c r="Y529" t="s">
        <v>143</v>
      </c>
      <c r="AA529" t="s">
        <v>145</v>
      </c>
      <c r="AB529" t="s">
        <v>146</v>
      </c>
      <c r="AC529" t="s">
        <v>96</v>
      </c>
      <c r="AD529" t="s">
        <v>161</v>
      </c>
    </row>
    <row r="530" spans="1:32" ht="22.15" customHeight="1">
      <c r="A530" s="12">
        <v>356</v>
      </c>
      <c r="B530" s="12"/>
      <c r="C530" s="13"/>
      <c r="D530" s="13"/>
      <c r="E530" s="13"/>
      <c r="F530" s="14"/>
      <c r="G530" s="15"/>
      <c r="H530" s="15"/>
      <c r="I530" s="24"/>
      <c r="J530" s="17"/>
      <c r="K530" s="18"/>
      <c r="L530" s="19"/>
      <c r="M530" s="31"/>
      <c r="N530" s="21"/>
      <c r="O530" s="30"/>
      <c r="P530" s="30"/>
      <c r="Q530" s="23"/>
      <c r="R530" s="24"/>
      <c r="V530" t="s">
        <v>162</v>
      </c>
      <c r="W530" t="s">
        <v>163</v>
      </c>
    </row>
    <row r="531" spans="1:32" ht="22.15" customHeight="1">
      <c r="A531" s="12">
        <v>357</v>
      </c>
      <c r="B531" s="12"/>
      <c r="C531" s="13"/>
      <c r="D531" s="13"/>
      <c r="E531" s="13"/>
      <c r="F531" s="14"/>
      <c r="G531" s="15"/>
      <c r="H531" s="15"/>
      <c r="I531" s="24"/>
      <c r="J531" s="17"/>
      <c r="K531" s="18"/>
      <c r="L531" s="19"/>
      <c r="M531" s="31"/>
      <c r="N531" s="21"/>
      <c r="O531" s="30"/>
      <c r="P531" s="30"/>
      <c r="Q531" s="23"/>
      <c r="R531" s="24"/>
      <c r="U531" t="s">
        <v>164</v>
      </c>
      <c r="W531" t="s">
        <v>165</v>
      </c>
      <c r="X531" t="s">
        <v>166</v>
      </c>
      <c r="Y531" t="s">
        <v>151</v>
      </c>
      <c r="AA531" t="s">
        <v>151</v>
      </c>
      <c r="AB531" t="s">
        <v>167</v>
      </c>
      <c r="AC531" t="s">
        <v>168</v>
      </c>
      <c r="AD531" t="s">
        <v>169</v>
      </c>
    </row>
    <row r="532" spans="1:32" ht="22.15" customHeight="1">
      <c r="A532" s="12">
        <v>358</v>
      </c>
      <c r="B532" s="12"/>
      <c r="C532" s="13"/>
      <c r="D532" s="13"/>
      <c r="E532" s="13"/>
      <c r="F532" s="14"/>
      <c r="G532" s="15"/>
      <c r="H532" s="15"/>
      <c r="I532" s="24"/>
      <c r="J532" s="17"/>
      <c r="K532" s="18"/>
      <c r="L532" s="19"/>
      <c r="M532" s="31"/>
      <c r="N532" s="21"/>
      <c r="O532" s="30"/>
      <c r="P532" s="30"/>
      <c r="Q532" s="23"/>
      <c r="R532" s="24"/>
      <c r="U532" t="s">
        <v>170</v>
      </c>
      <c r="V532" t="s">
        <v>171</v>
      </c>
      <c r="W532" t="s">
        <v>172</v>
      </c>
      <c r="Y532" t="s">
        <v>156</v>
      </c>
      <c r="AA532" t="s">
        <v>156</v>
      </c>
      <c r="AB532" t="s">
        <v>173</v>
      </c>
      <c r="AC532" t="s">
        <v>174</v>
      </c>
      <c r="AD532" t="s">
        <v>175</v>
      </c>
    </row>
    <row r="533" spans="1:32" ht="22.15" customHeight="1">
      <c r="A533" s="12">
        <v>359</v>
      </c>
      <c r="B533" s="12"/>
      <c r="C533" s="13"/>
      <c r="D533" s="13"/>
      <c r="E533" s="13"/>
      <c r="F533" s="14"/>
      <c r="G533" s="15"/>
      <c r="H533" s="15"/>
      <c r="I533" s="24"/>
      <c r="J533" s="17"/>
      <c r="K533" s="18"/>
      <c r="L533" s="19"/>
      <c r="M533" s="31"/>
      <c r="N533" s="21"/>
      <c r="O533" s="30"/>
      <c r="P533" s="30"/>
      <c r="Q533" s="23"/>
      <c r="R533" s="24"/>
      <c r="U533" t="s">
        <v>176</v>
      </c>
      <c r="V533" t="s">
        <v>177</v>
      </c>
      <c r="X533" t="s">
        <v>178</v>
      </c>
      <c r="Y533" t="s">
        <v>160</v>
      </c>
      <c r="AA533" t="s">
        <v>160</v>
      </c>
      <c r="AB533" t="s">
        <v>179</v>
      </c>
      <c r="AC533" t="s">
        <v>180</v>
      </c>
      <c r="AD533" t="s">
        <v>181</v>
      </c>
    </row>
    <row r="534" spans="1:32" ht="22.15" customHeight="1">
      <c r="A534" s="12">
        <v>360</v>
      </c>
      <c r="B534" s="12"/>
      <c r="C534" s="13"/>
      <c r="D534" s="13"/>
      <c r="E534" s="13"/>
      <c r="F534" s="14"/>
      <c r="G534" s="15"/>
      <c r="H534" s="15"/>
      <c r="I534" s="24"/>
      <c r="J534" s="17"/>
      <c r="K534" s="18"/>
      <c r="L534" s="19"/>
      <c r="M534" s="31"/>
      <c r="N534" s="21"/>
      <c r="O534" s="30"/>
      <c r="P534" s="30"/>
      <c r="Q534" s="23"/>
      <c r="R534" s="24"/>
      <c r="V534" t="s">
        <v>184</v>
      </c>
      <c r="W534" t="s">
        <v>185</v>
      </c>
      <c r="X534" t="s">
        <v>186</v>
      </c>
    </row>
    <row r="535" spans="1:32" ht="18" customHeight="1">
      <c r="A535" s="47" t="s">
        <v>302</v>
      </c>
      <c r="B535" s="48"/>
      <c r="C535" s="48"/>
      <c r="D535" s="48"/>
      <c r="E535" s="49"/>
      <c r="F535" s="50" t="s">
        <v>183</v>
      </c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2"/>
      <c r="U535" t="s">
        <v>320</v>
      </c>
      <c r="W535" t="s">
        <v>321</v>
      </c>
      <c r="X535" t="s">
        <v>322</v>
      </c>
      <c r="Y535" t="s">
        <v>323</v>
      </c>
      <c r="AA535" s="16" t="s">
        <v>167</v>
      </c>
      <c r="AB535" s="16" t="s">
        <v>168</v>
      </c>
      <c r="AC535" s="16" t="s">
        <v>131</v>
      </c>
      <c r="AD535" s="16" t="s">
        <v>253</v>
      </c>
    </row>
    <row r="536" spans="1:32" ht="18" customHeight="1">
      <c r="A536" s="12">
        <v>1</v>
      </c>
      <c r="B536" s="47" t="s">
        <v>187</v>
      </c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9"/>
      <c r="AA536" s="27" t="s">
        <v>188</v>
      </c>
      <c r="AB536" s="27" t="s">
        <v>189</v>
      </c>
      <c r="AC536" s="27" t="s">
        <v>190</v>
      </c>
    </row>
    <row r="537" spans="1:32" ht="18" customHeight="1">
      <c r="A537" s="23">
        <v>2</v>
      </c>
      <c r="B537" s="53" t="s">
        <v>191</v>
      </c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5"/>
      <c r="U537" t="s">
        <v>192</v>
      </c>
      <c r="V537" s="16" t="s">
        <v>193</v>
      </c>
      <c r="W537" t="s">
        <v>194</v>
      </c>
      <c r="Y537" t="s">
        <v>195</v>
      </c>
      <c r="AA537" s="16" t="s">
        <v>173</v>
      </c>
      <c r="AB537" s="16" t="s">
        <v>174</v>
      </c>
      <c r="AC537" s="16" t="s">
        <v>139</v>
      </c>
      <c r="AD537" s="16" t="s">
        <v>196</v>
      </c>
    </row>
    <row r="538" spans="1:32" ht="18" customHeight="1">
      <c r="A538" s="23">
        <v>3</v>
      </c>
      <c r="B538" s="47" t="s">
        <v>197</v>
      </c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9"/>
      <c r="V538" s="16" t="s">
        <v>198</v>
      </c>
      <c r="X538" s="16" t="s">
        <v>199</v>
      </c>
      <c r="Y538" t="s">
        <v>200</v>
      </c>
      <c r="AA538" s="16" t="s">
        <v>179</v>
      </c>
      <c r="AB538" s="16" t="s">
        <v>180</v>
      </c>
      <c r="AC538" s="16" t="s">
        <v>147</v>
      </c>
      <c r="AD538" s="16" t="s">
        <v>201</v>
      </c>
    </row>
    <row r="539" spans="1:32" ht="18" customHeight="1">
      <c r="A539" s="37" t="s">
        <v>202</v>
      </c>
      <c r="B539" s="38"/>
      <c r="C539" s="39">
        <f>C389</f>
        <v>0</v>
      </c>
      <c r="D539" s="39"/>
      <c r="E539" s="37" t="s">
        <v>203</v>
      </c>
      <c r="F539" s="40"/>
      <c r="G539" s="41">
        <f>G389</f>
        <v>0</v>
      </c>
      <c r="H539" s="42"/>
      <c r="I539" s="42"/>
      <c r="J539" s="42"/>
      <c r="K539" s="28" t="s">
        <v>204</v>
      </c>
      <c r="L539" s="43" t="s">
        <v>205</v>
      </c>
      <c r="M539" s="43"/>
      <c r="N539" s="43"/>
      <c r="O539" s="43"/>
      <c r="P539" s="43"/>
      <c r="Q539" s="43"/>
      <c r="R539" s="43"/>
      <c r="U539" t="s">
        <v>206</v>
      </c>
      <c r="W539" s="16" t="s">
        <v>207</v>
      </c>
      <c r="X539" s="16" t="s">
        <v>208</v>
      </c>
    </row>
    <row r="540" spans="1:32" ht="18" customHeight="1">
      <c r="A540" s="37" t="s">
        <v>209</v>
      </c>
      <c r="B540" s="38"/>
      <c r="C540" s="82">
        <f>C390</f>
        <v>0</v>
      </c>
      <c r="D540" s="82"/>
      <c r="E540" s="37" t="s">
        <v>210</v>
      </c>
      <c r="F540" s="40"/>
      <c r="G540" s="41">
        <f>G390</f>
        <v>0</v>
      </c>
      <c r="H540" s="42"/>
      <c r="I540" s="42"/>
      <c r="J540" s="42"/>
      <c r="K540" s="28" t="s">
        <v>204</v>
      </c>
      <c r="L540" s="43" t="s">
        <v>205</v>
      </c>
      <c r="M540" s="43"/>
      <c r="N540" s="43"/>
      <c r="O540" s="43"/>
      <c r="P540" s="43"/>
      <c r="Q540" s="43"/>
      <c r="R540" s="43"/>
      <c r="V540" s="16" t="s">
        <v>211</v>
      </c>
      <c r="W540" s="16" t="s">
        <v>212</v>
      </c>
      <c r="Y540" t="s">
        <v>213</v>
      </c>
      <c r="AA540" s="16" t="s">
        <v>214</v>
      </c>
      <c r="AB540" s="16" t="s">
        <v>214</v>
      </c>
      <c r="AC540" s="16" t="s">
        <v>215</v>
      </c>
      <c r="AD540" s="16" t="s">
        <v>216</v>
      </c>
    </row>
    <row r="541" spans="1:32" ht="48" customHeight="1">
      <c r="A541" s="69" t="s">
        <v>0</v>
      </c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1" t="s">
        <v>1</v>
      </c>
      <c r="M541" s="71"/>
      <c r="N541" s="71"/>
      <c r="O541" s="71"/>
      <c r="P541" s="71"/>
      <c r="Q541" s="1" t="s">
        <v>2</v>
      </c>
      <c r="R541" s="2" t="s">
        <v>3</v>
      </c>
      <c r="S541" s="3"/>
      <c r="T541" s="3" t="s">
        <v>4</v>
      </c>
      <c r="U541" s="4" t="s">
        <v>5</v>
      </c>
      <c r="V541" s="4" t="s">
        <v>6</v>
      </c>
      <c r="W541" s="4" t="s">
        <v>7</v>
      </c>
      <c r="X541" s="4" t="s">
        <v>8</v>
      </c>
      <c r="Y541" s="4" t="s">
        <v>9</v>
      </c>
      <c r="Z541" s="4"/>
      <c r="AA541" s="4" t="s">
        <v>10</v>
      </c>
      <c r="AB541" s="4" t="s">
        <v>11</v>
      </c>
      <c r="AC541" s="4" t="s">
        <v>12</v>
      </c>
      <c r="AD541" s="4" t="s">
        <v>13</v>
      </c>
      <c r="AE541" s="4" t="s">
        <v>14</v>
      </c>
      <c r="AF541" s="4" t="s">
        <v>15</v>
      </c>
    </row>
    <row r="542" spans="1:32" s="8" customFormat="1" ht="18" customHeight="1">
      <c r="A542" s="5" t="s">
        <v>16</v>
      </c>
      <c r="B542" s="44">
        <f>B362</f>
        <v>0</v>
      </c>
      <c r="C542" s="45"/>
      <c r="D542" s="45"/>
      <c r="E542" s="6" t="str">
        <f>E362</f>
        <v>Version:1</v>
      </c>
      <c r="F542" s="72" t="s">
        <v>18</v>
      </c>
      <c r="G542" s="74" t="s">
        <v>19</v>
      </c>
      <c r="H542" s="74" t="s">
        <v>20</v>
      </c>
      <c r="I542" s="77" t="s">
        <v>21</v>
      </c>
      <c r="J542" s="62" t="s">
        <v>22</v>
      </c>
      <c r="K542" s="79" t="s">
        <v>23</v>
      </c>
      <c r="L542" s="62" t="s">
        <v>24</v>
      </c>
      <c r="M542" s="56" t="s">
        <v>25</v>
      </c>
      <c r="N542" s="59" t="s">
        <v>26</v>
      </c>
      <c r="O542" s="62" t="s">
        <v>27</v>
      </c>
      <c r="P542" s="65" t="s">
        <v>28</v>
      </c>
      <c r="Q542" s="66" t="s">
        <v>29</v>
      </c>
      <c r="R542" s="68" t="s">
        <v>30</v>
      </c>
      <c r="S542"/>
      <c r="T542" s="7" t="str">
        <f>IF(C575&gt;18,IF(C575=20,Nennweite20,IF(C575=60,U544,IF(C575=50,Nennweite50,IF(C575=25,Nennweite25,IF(C575=32,Nennweite32,IF(C575=40,Nennweite40,"&gt;")))))),IF(C575=8,Nennweite8,IF(C575=6,Nennweite6,IF(C575=10,Nennweite10,IF(C575=18,Nennweite18,IF(C575=16,Nennweite16,IF(C575=12,Nennweite12,"")))))))</f>
        <v/>
      </c>
      <c r="U542" t="s">
        <v>31</v>
      </c>
      <c r="V542" t="s">
        <v>32</v>
      </c>
      <c r="W542" t="s">
        <v>33</v>
      </c>
      <c r="X542" t="s">
        <v>34</v>
      </c>
      <c r="Y542" t="s">
        <v>35</v>
      </c>
      <c r="Z542"/>
      <c r="AA542" t="s">
        <v>36</v>
      </c>
      <c r="AB542" t="s">
        <v>37</v>
      </c>
      <c r="AC542" t="s">
        <v>38</v>
      </c>
      <c r="AD542" t="s">
        <v>39</v>
      </c>
      <c r="AE542" t="s">
        <v>40</v>
      </c>
      <c r="AF542" t="s">
        <v>41</v>
      </c>
    </row>
    <row r="543" spans="1:32" ht="18" customHeight="1">
      <c r="A543" s="5" t="s">
        <v>42</v>
      </c>
      <c r="B543" s="44">
        <f>B363</f>
        <v>0</v>
      </c>
      <c r="C543" s="45"/>
      <c r="D543" s="45"/>
      <c r="E543" s="46"/>
      <c r="F543" s="72"/>
      <c r="G543" s="75"/>
      <c r="H543" s="75"/>
      <c r="I543" s="77"/>
      <c r="J543" s="63"/>
      <c r="K543" s="80"/>
      <c r="L543" s="63"/>
      <c r="M543" s="57"/>
      <c r="N543" s="60"/>
      <c r="O543" s="63"/>
      <c r="P543" s="63"/>
      <c r="Q543" s="66"/>
      <c r="R543" s="66"/>
      <c r="U543" t="s">
        <v>43</v>
      </c>
      <c r="V543" t="s">
        <v>44</v>
      </c>
      <c r="W543" t="s">
        <v>45</v>
      </c>
      <c r="X543" t="s">
        <v>46</v>
      </c>
      <c r="Y543" t="s">
        <v>47</v>
      </c>
      <c r="AA543" t="s">
        <v>48</v>
      </c>
      <c r="AB543" t="s">
        <v>49</v>
      </c>
      <c r="AC543" t="s">
        <v>50</v>
      </c>
      <c r="AD543" t="s">
        <v>51</v>
      </c>
      <c r="AE543" t="s">
        <v>52</v>
      </c>
      <c r="AF543" t="s">
        <v>53</v>
      </c>
    </row>
    <row r="544" spans="1:32" ht="18" customHeight="1" thickBot="1">
      <c r="A544" s="9" t="s">
        <v>54</v>
      </c>
      <c r="B544" s="10" t="s">
        <v>55</v>
      </c>
      <c r="C544" s="10" t="s">
        <v>56</v>
      </c>
      <c r="D544" s="11" t="s">
        <v>57</v>
      </c>
      <c r="E544" s="9" t="s">
        <v>58</v>
      </c>
      <c r="F544" s="73"/>
      <c r="G544" s="76"/>
      <c r="H544" s="76"/>
      <c r="I544" s="78"/>
      <c r="J544" s="64"/>
      <c r="K544" s="81"/>
      <c r="L544" s="64"/>
      <c r="M544" s="58"/>
      <c r="N544" s="61"/>
      <c r="O544" s="64"/>
      <c r="P544" s="64"/>
      <c r="Q544" s="67"/>
      <c r="R544" s="67"/>
      <c r="U544" t="s">
        <v>59</v>
      </c>
      <c r="V544" t="s">
        <v>60</v>
      </c>
      <c r="W544" t="s">
        <v>61</v>
      </c>
      <c r="X544" t="s">
        <v>62</v>
      </c>
      <c r="Y544" t="s">
        <v>63</v>
      </c>
      <c r="AA544" t="s">
        <v>64</v>
      </c>
      <c r="AB544" t="s">
        <v>65</v>
      </c>
      <c r="AC544" t="s">
        <v>66</v>
      </c>
      <c r="AD544" t="s">
        <v>67</v>
      </c>
      <c r="AE544" t="s">
        <v>68</v>
      </c>
      <c r="AF544" t="s">
        <v>69</v>
      </c>
    </row>
    <row r="545" spans="1:31" ht="22.15" customHeight="1">
      <c r="A545" s="12">
        <v>361</v>
      </c>
      <c r="B545" s="13"/>
      <c r="C545" s="13"/>
      <c r="D545" s="13"/>
      <c r="E545" s="13"/>
      <c r="F545" s="14"/>
      <c r="G545" s="15"/>
      <c r="H545" s="15"/>
      <c r="I545" s="24"/>
      <c r="J545" s="17"/>
      <c r="K545" s="18"/>
      <c r="L545" s="19"/>
      <c r="M545" s="31"/>
      <c r="N545" s="21"/>
      <c r="O545" s="30"/>
      <c r="P545" s="30"/>
      <c r="Q545" s="23"/>
      <c r="R545" s="24"/>
      <c r="U545" t="s">
        <v>70</v>
      </c>
      <c r="V545" t="s">
        <v>71</v>
      </c>
      <c r="W545" t="s">
        <v>72</v>
      </c>
      <c r="X545" t="s">
        <v>73</v>
      </c>
      <c r="Y545" t="s">
        <v>74</v>
      </c>
      <c r="AA545" t="s">
        <v>75</v>
      </c>
      <c r="AB545" t="s">
        <v>76</v>
      </c>
      <c r="AC545" t="s">
        <v>77</v>
      </c>
      <c r="AD545" t="s">
        <v>78</v>
      </c>
      <c r="AE545" t="s">
        <v>79</v>
      </c>
    </row>
    <row r="546" spans="1:31" ht="22.15" customHeight="1">
      <c r="A546" s="12">
        <v>362</v>
      </c>
      <c r="B546" s="13"/>
      <c r="C546" s="13"/>
      <c r="D546" s="13"/>
      <c r="E546" s="13"/>
      <c r="F546" s="14"/>
      <c r="G546" s="15"/>
      <c r="H546" s="15"/>
      <c r="I546" s="24"/>
      <c r="J546" s="17"/>
      <c r="K546" s="18"/>
      <c r="L546" s="19"/>
      <c r="M546" s="31"/>
      <c r="N546" s="21"/>
      <c r="O546" s="30"/>
      <c r="P546" s="30"/>
      <c r="Q546" s="23"/>
      <c r="R546" s="24"/>
      <c r="U546" t="s">
        <v>80</v>
      </c>
      <c r="X546" t="s">
        <v>81</v>
      </c>
      <c r="Y546" t="s">
        <v>82</v>
      </c>
      <c r="AA546" t="s">
        <v>83</v>
      </c>
      <c r="AB546" t="s">
        <v>84</v>
      </c>
      <c r="AC546" t="s">
        <v>85</v>
      </c>
      <c r="AD546" t="s">
        <v>86</v>
      </c>
      <c r="AE546" t="s">
        <v>87</v>
      </c>
    </row>
    <row r="547" spans="1:31" ht="22.15" customHeight="1">
      <c r="A547" s="12">
        <v>363</v>
      </c>
      <c r="B547" s="13"/>
      <c r="C547" s="13"/>
      <c r="D547" s="13"/>
      <c r="E547" s="13"/>
      <c r="F547" s="14"/>
      <c r="G547" s="15"/>
      <c r="H547" s="15"/>
      <c r="I547" s="24"/>
      <c r="J547" s="17"/>
      <c r="K547" s="18"/>
      <c r="L547" s="19"/>
      <c r="M547" s="31"/>
      <c r="N547" s="21"/>
      <c r="O547" s="30"/>
      <c r="P547" s="30"/>
      <c r="Q547" s="23"/>
      <c r="R547" s="24"/>
      <c r="U547" t="s">
        <v>88</v>
      </c>
      <c r="V547" t="s">
        <v>89</v>
      </c>
      <c r="W547" t="s">
        <v>90</v>
      </c>
      <c r="X547" t="s">
        <v>91</v>
      </c>
      <c r="Y547" t="s">
        <v>92</v>
      </c>
      <c r="AA547" t="s">
        <v>93</v>
      </c>
      <c r="AB547" t="s">
        <v>94</v>
      </c>
      <c r="AC547" t="s">
        <v>95</v>
      </c>
      <c r="AD547" t="s">
        <v>96</v>
      </c>
      <c r="AE547" t="s">
        <v>97</v>
      </c>
    </row>
    <row r="548" spans="1:31" ht="22.15" customHeight="1">
      <c r="A548" s="12">
        <v>364</v>
      </c>
      <c r="B548" s="12"/>
      <c r="C548" s="13"/>
      <c r="D548" s="13"/>
      <c r="E548" s="13"/>
      <c r="F548" s="14"/>
      <c r="G548" s="15"/>
      <c r="H548" s="15"/>
      <c r="I548" s="24"/>
      <c r="J548" s="17"/>
      <c r="K548" s="18"/>
      <c r="L548" s="19"/>
      <c r="M548" s="31"/>
      <c r="N548" s="21"/>
      <c r="O548" s="30"/>
      <c r="P548" s="30"/>
      <c r="Q548" s="23"/>
      <c r="R548" s="24"/>
      <c r="V548" t="s">
        <v>98</v>
      </c>
      <c r="W548" t="s">
        <v>99</v>
      </c>
    </row>
    <row r="549" spans="1:31" ht="22.15" customHeight="1">
      <c r="A549" s="12">
        <v>365</v>
      </c>
      <c r="B549" s="12"/>
      <c r="C549" s="13"/>
      <c r="D549" s="13"/>
      <c r="E549" s="13"/>
      <c r="F549" s="14"/>
      <c r="G549" s="15"/>
      <c r="H549" s="15"/>
      <c r="I549" s="24"/>
      <c r="J549" s="17"/>
      <c r="K549" s="18"/>
      <c r="L549" s="19"/>
      <c r="M549" s="31"/>
      <c r="N549" s="21"/>
      <c r="O549" s="30"/>
      <c r="P549" s="30"/>
      <c r="Q549" s="23"/>
      <c r="R549" s="24"/>
      <c r="U549" t="s">
        <v>100</v>
      </c>
      <c r="V549" t="s">
        <v>101</v>
      </c>
      <c r="W549" t="s">
        <v>102</v>
      </c>
      <c r="X549" t="s">
        <v>103</v>
      </c>
      <c r="Y549" t="s">
        <v>103</v>
      </c>
      <c r="AA549" t="s">
        <v>104</v>
      </c>
      <c r="AB549" t="s">
        <v>105</v>
      </c>
      <c r="AC549" t="s">
        <v>106</v>
      </c>
      <c r="AD549" t="s">
        <v>40</v>
      </c>
      <c r="AE549" t="s">
        <v>107</v>
      </c>
    </row>
    <row r="550" spans="1:31" ht="22.15" customHeight="1">
      <c r="A550" s="12">
        <v>366</v>
      </c>
      <c r="B550" s="12"/>
      <c r="C550" s="13"/>
      <c r="D550" s="13"/>
      <c r="E550" s="13"/>
      <c r="F550" s="14"/>
      <c r="G550" s="15"/>
      <c r="H550" s="15"/>
      <c r="I550" s="24"/>
      <c r="J550" s="17"/>
      <c r="K550" s="18"/>
      <c r="L550" s="19"/>
      <c r="M550" s="31"/>
      <c r="N550" s="21"/>
      <c r="O550" s="30"/>
      <c r="P550" s="30"/>
      <c r="Q550" s="23"/>
      <c r="R550" s="24"/>
      <c r="X550" t="s">
        <v>108</v>
      </c>
      <c r="Y550" t="s">
        <v>108</v>
      </c>
      <c r="AA550" t="s">
        <v>109</v>
      </c>
      <c r="AB550" t="s">
        <v>110</v>
      </c>
      <c r="AC550" t="s">
        <v>111</v>
      </c>
      <c r="AD550" t="s">
        <v>52</v>
      </c>
    </row>
    <row r="551" spans="1:31" ht="22.15" customHeight="1">
      <c r="A551" s="12">
        <v>367</v>
      </c>
      <c r="B551" s="12"/>
      <c r="C551" s="13"/>
      <c r="D551" s="13"/>
      <c r="E551" s="13"/>
      <c r="F551" s="14"/>
      <c r="G551" s="15"/>
      <c r="H551" s="15"/>
      <c r="I551" s="24"/>
      <c r="J551" s="17"/>
      <c r="K551" s="18"/>
      <c r="L551" s="19"/>
      <c r="M551" s="31"/>
      <c r="N551" s="21"/>
      <c r="O551" s="30"/>
      <c r="P551" s="30"/>
      <c r="Q551" s="23"/>
      <c r="R551" s="24"/>
      <c r="U551" t="s">
        <v>112</v>
      </c>
      <c r="V551" t="s">
        <v>113</v>
      </c>
      <c r="W551" t="s">
        <v>114</v>
      </c>
      <c r="X551" t="s">
        <v>115</v>
      </c>
      <c r="Y551" t="s">
        <v>116</v>
      </c>
      <c r="AA551" t="s">
        <v>117</v>
      </c>
      <c r="AB551" t="s">
        <v>118</v>
      </c>
      <c r="AC551" t="s">
        <v>119</v>
      </c>
      <c r="AD551" t="s">
        <v>68</v>
      </c>
      <c r="AE551" t="s">
        <v>120</v>
      </c>
    </row>
    <row r="552" spans="1:31" ht="22.15" customHeight="1">
      <c r="A552" s="12">
        <v>368</v>
      </c>
      <c r="B552" s="12"/>
      <c r="C552" s="13"/>
      <c r="D552" s="13"/>
      <c r="E552" s="13"/>
      <c r="F552" s="14"/>
      <c r="G552" s="15"/>
      <c r="H552" s="15"/>
      <c r="I552" s="24"/>
      <c r="J552" s="17"/>
      <c r="K552" s="18"/>
      <c r="L552" s="19"/>
      <c r="M552" s="31"/>
      <c r="N552" s="21"/>
      <c r="O552" s="30"/>
      <c r="P552" s="30"/>
      <c r="Q552" s="23"/>
      <c r="R552" s="24"/>
      <c r="V552" t="s">
        <v>121</v>
      </c>
      <c r="W552" t="s">
        <v>122</v>
      </c>
      <c r="AE552" t="s">
        <v>123</v>
      </c>
    </row>
    <row r="553" spans="1:31" ht="22.15" customHeight="1">
      <c r="A553" s="12">
        <v>369</v>
      </c>
      <c r="B553" s="12"/>
      <c r="C553" s="13"/>
      <c r="D553" s="13"/>
      <c r="E553" s="13"/>
      <c r="F553" s="14"/>
      <c r="G553" s="15"/>
      <c r="H553" s="15"/>
      <c r="I553" s="24"/>
      <c r="J553" s="17"/>
      <c r="K553" s="18"/>
      <c r="L553" s="19"/>
      <c r="M553" s="31"/>
      <c r="N553" s="21"/>
      <c r="O553" s="30"/>
      <c r="P553" s="30"/>
      <c r="Q553" s="23"/>
      <c r="R553" s="24"/>
      <c r="U553" t="s">
        <v>124</v>
      </c>
      <c r="V553" t="s">
        <v>125</v>
      </c>
      <c r="W553" t="s">
        <v>126</v>
      </c>
      <c r="X553" t="s">
        <v>127</v>
      </c>
      <c r="Y553" t="s">
        <v>128</v>
      </c>
      <c r="AA553" t="s">
        <v>128</v>
      </c>
      <c r="AB553" t="s">
        <v>129</v>
      </c>
      <c r="AC553" t="s">
        <v>130</v>
      </c>
      <c r="AD553" t="s">
        <v>131</v>
      </c>
      <c r="AE553" t="s">
        <v>132</v>
      </c>
    </row>
    <row r="554" spans="1:31" ht="22.15" customHeight="1">
      <c r="A554" s="12">
        <v>370</v>
      </c>
      <c r="B554" s="12"/>
      <c r="C554" s="13"/>
      <c r="D554" s="13"/>
      <c r="E554" s="13"/>
      <c r="F554" s="14"/>
      <c r="G554" s="15"/>
      <c r="H554" s="15"/>
      <c r="I554" s="24"/>
      <c r="J554" s="17"/>
      <c r="K554" s="18"/>
      <c r="L554" s="19"/>
      <c r="M554" s="31"/>
      <c r="N554" s="21"/>
      <c r="O554" s="30"/>
      <c r="P554" s="30"/>
      <c r="Q554" s="23"/>
      <c r="R554" s="24"/>
      <c r="U554" t="s">
        <v>134</v>
      </c>
      <c r="X554" t="s">
        <v>135</v>
      </c>
      <c r="Y554" t="s">
        <v>136</v>
      </c>
      <c r="AA554" t="s">
        <v>136</v>
      </c>
      <c r="AB554" t="s">
        <v>137</v>
      </c>
      <c r="AC554" t="s">
        <v>138</v>
      </c>
      <c r="AD554" t="s">
        <v>139</v>
      </c>
    </row>
    <row r="555" spans="1:31" ht="22.15" customHeight="1">
      <c r="A555" s="12">
        <v>371</v>
      </c>
      <c r="B555" s="12"/>
      <c r="C555" s="13"/>
      <c r="D555" s="13"/>
      <c r="E555" s="13"/>
      <c r="F555" s="14"/>
      <c r="G555" s="15"/>
      <c r="H555" s="15"/>
      <c r="I555" s="24"/>
      <c r="J555" s="17"/>
      <c r="K555" s="18"/>
      <c r="L555" s="19"/>
      <c r="M555" s="31"/>
      <c r="N555" s="21"/>
      <c r="O555" s="30"/>
      <c r="P555" s="30"/>
      <c r="Q555" s="23"/>
      <c r="R555" s="24"/>
      <c r="U555" t="s">
        <v>140</v>
      </c>
      <c r="V555" t="s">
        <v>141</v>
      </c>
      <c r="W555" t="s">
        <v>142</v>
      </c>
      <c r="X555" t="s">
        <v>143</v>
      </c>
      <c r="Y555" t="s">
        <v>144</v>
      </c>
      <c r="AA555" t="s">
        <v>144</v>
      </c>
      <c r="AB555" t="s">
        <v>145</v>
      </c>
      <c r="AC555" t="s">
        <v>146</v>
      </c>
      <c r="AD555" t="s">
        <v>147</v>
      </c>
    </row>
    <row r="556" spans="1:31" ht="22.15" customHeight="1">
      <c r="A556" s="12">
        <v>372</v>
      </c>
      <c r="B556" s="12"/>
      <c r="C556" s="13"/>
      <c r="D556" s="13"/>
      <c r="E556" s="13"/>
      <c r="F556" s="14"/>
      <c r="G556" s="15"/>
      <c r="H556" s="15"/>
      <c r="I556" s="24"/>
      <c r="J556" s="17"/>
      <c r="K556" s="18"/>
      <c r="L556" s="19"/>
      <c r="M556" s="31"/>
      <c r="N556" s="21"/>
      <c r="O556" s="30"/>
      <c r="P556" s="30"/>
      <c r="Q556" s="23"/>
      <c r="R556" s="24"/>
      <c r="V556" t="s">
        <v>148</v>
      </c>
    </row>
    <row r="557" spans="1:31" ht="22.15" customHeight="1">
      <c r="A557" s="12">
        <v>373</v>
      </c>
      <c r="B557" s="12"/>
      <c r="C557" s="13"/>
      <c r="D557" s="13"/>
      <c r="E557" s="13"/>
      <c r="F557" s="14"/>
      <c r="G557" s="15"/>
      <c r="H557" s="15"/>
      <c r="I557" s="24"/>
      <c r="J557" s="17"/>
      <c r="K557" s="18"/>
      <c r="L557" s="19"/>
      <c r="M557" s="31"/>
      <c r="N557" s="21"/>
      <c r="O557" s="30"/>
      <c r="P557" s="30"/>
      <c r="Q557" s="23"/>
      <c r="R557" s="24"/>
      <c r="U557" t="s">
        <v>149</v>
      </c>
      <c r="W557" t="s">
        <v>150</v>
      </c>
      <c r="X557" t="s">
        <v>151</v>
      </c>
      <c r="Y557" t="s">
        <v>127</v>
      </c>
      <c r="AA557" t="s">
        <v>129</v>
      </c>
      <c r="AB557" t="s">
        <v>130</v>
      </c>
      <c r="AC557" t="s">
        <v>78</v>
      </c>
      <c r="AD557" t="s">
        <v>152</v>
      </c>
    </row>
    <row r="558" spans="1:31" ht="22.15" customHeight="1">
      <c r="A558" s="12">
        <v>374</v>
      </c>
      <c r="B558" s="12"/>
      <c r="C558" s="13"/>
      <c r="D558" s="13"/>
      <c r="E558" s="13"/>
      <c r="F558" s="14"/>
      <c r="G558" s="15"/>
      <c r="H558" s="15"/>
      <c r="I558" s="24"/>
      <c r="J558" s="17"/>
      <c r="K558" s="18"/>
      <c r="L558" s="19"/>
      <c r="M558" s="31"/>
      <c r="N558" s="21"/>
      <c r="O558" s="30"/>
      <c r="P558" s="30"/>
      <c r="Q558" s="23"/>
      <c r="R558" s="24"/>
      <c r="U558" t="s">
        <v>153</v>
      </c>
      <c r="V558" t="s">
        <v>154</v>
      </c>
      <c r="W558" t="s">
        <v>155</v>
      </c>
      <c r="X558" t="s">
        <v>156</v>
      </c>
      <c r="Y558" t="s">
        <v>135</v>
      </c>
      <c r="AA558" t="s">
        <v>137</v>
      </c>
      <c r="AB558" t="s">
        <v>138</v>
      </c>
      <c r="AC558" t="s">
        <v>86</v>
      </c>
      <c r="AD558" t="s">
        <v>157</v>
      </c>
    </row>
    <row r="559" spans="1:31" ht="22.15" customHeight="1">
      <c r="A559" s="12">
        <v>375</v>
      </c>
      <c r="B559" s="12"/>
      <c r="C559" s="13"/>
      <c r="D559" s="13"/>
      <c r="E559" s="13"/>
      <c r="F559" s="14"/>
      <c r="G559" s="15"/>
      <c r="H559" s="15"/>
      <c r="I559" s="24"/>
      <c r="J559" s="17"/>
      <c r="K559" s="18"/>
      <c r="L559" s="19"/>
      <c r="M559" s="31"/>
      <c r="N559" s="21"/>
      <c r="O559" s="30"/>
      <c r="P559" s="30"/>
      <c r="Q559" s="23"/>
      <c r="R559" s="24"/>
      <c r="U559" t="s">
        <v>158</v>
      </c>
      <c r="V559" t="s">
        <v>159</v>
      </c>
      <c r="X559" t="s">
        <v>160</v>
      </c>
      <c r="Y559" t="s">
        <v>143</v>
      </c>
      <c r="AA559" t="s">
        <v>145</v>
      </c>
      <c r="AB559" t="s">
        <v>146</v>
      </c>
      <c r="AC559" t="s">
        <v>96</v>
      </c>
      <c r="AD559" t="s">
        <v>161</v>
      </c>
    </row>
    <row r="560" spans="1:31" ht="22.15" customHeight="1">
      <c r="A560" s="12">
        <v>376</v>
      </c>
      <c r="B560" s="12"/>
      <c r="C560" s="13"/>
      <c r="D560" s="13"/>
      <c r="E560" s="13"/>
      <c r="F560" s="14"/>
      <c r="G560" s="15"/>
      <c r="H560" s="15"/>
      <c r="I560" s="24"/>
      <c r="J560" s="17"/>
      <c r="K560" s="18"/>
      <c r="L560" s="19"/>
      <c r="M560" s="31"/>
      <c r="N560" s="21"/>
      <c r="O560" s="30"/>
      <c r="P560" s="30"/>
      <c r="Q560" s="23"/>
      <c r="R560" s="24"/>
      <c r="V560" t="s">
        <v>162</v>
      </c>
      <c r="W560" t="s">
        <v>163</v>
      </c>
    </row>
    <row r="561" spans="1:32" ht="22.15" customHeight="1">
      <c r="A561" s="12">
        <v>377</v>
      </c>
      <c r="B561" s="12"/>
      <c r="C561" s="13"/>
      <c r="D561" s="13"/>
      <c r="E561" s="13"/>
      <c r="F561" s="14"/>
      <c r="G561" s="15"/>
      <c r="H561" s="15"/>
      <c r="I561" s="24"/>
      <c r="J561" s="17"/>
      <c r="K561" s="18"/>
      <c r="L561" s="19"/>
      <c r="M561" s="31"/>
      <c r="N561" s="21"/>
      <c r="O561" s="30"/>
      <c r="P561" s="30"/>
      <c r="Q561" s="23"/>
      <c r="R561" s="24"/>
      <c r="U561" t="s">
        <v>164</v>
      </c>
      <c r="W561" t="s">
        <v>165</v>
      </c>
      <c r="X561" t="s">
        <v>166</v>
      </c>
      <c r="Y561" t="s">
        <v>151</v>
      </c>
      <c r="AA561" t="s">
        <v>151</v>
      </c>
      <c r="AB561" t="s">
        <v>167</v>
      </c>
      <c r="AC561" t="s">
        <v>168</v>
      </c>
      <c r="AD561" t="s">
        <v>169</v>
      </c>
    </row>
    <row r="562" spans="1:32" ht="22.15" customHeight="1">
      <c r="A562" s="12">
        <v>378</v>
      </c>
      <c r="B562" s="12"/>
      <c r="C562" s="13"/>
      <c r="D562" s="13"/>
      <c r="E562" s="13"/>
      <c r="F562" s="14"/>
      <c r="G562" s="15"/>
      <c r="H562" s="15"/>
      <c r="I562" s="24"/>
      <c r="J562" s="17"/>
      <c r="K562" s="18"/>
      <c r="L562" s="19"/>
      <c r="M562" s="31"/>
      <c r="N562" s="21"/>
      <c r="O562" s="30"/>
      <c r="P562" s="30"/>
      <c r="Q562" s="23"/>
      <c r="R562" s="24"/>
      <c r="U562" t="s">
        <v>170</v>
      </c>
      <c r="V562" t="s">
        <v>171</v>
      </c>
      <c r="W562" t="s">
        <v>172</v>
      </c>
      <c r="Y562" t="s">
        <v>156</v>
      </c>
      <c r="AA562" t="s">
        <v>156</v>
      </c>
      <c r="AB562" t="s">
        <v>173</v>
      </c>
      <c r="AC562" t="s">
        <v>174</v>
      </c>
      <c r="AD562" t="s">
        <v>175</v>
      </c>
    </row>
    <row r="563" spans="1:32" ht="22.15" customHeight="1">
      <c r="A563" s="12">
        <v>379</v>
      </c>
      <c r="B563" s="12"/>
      <c r="C563" s="13"/>
      <c r="D563" s="13"/>
      <c r="E563" s="13"/>
      <c r="F563" s="14"/>
      <c r="G563" s="15"/>
      <c r="H563" s="15"/>
      <c r="I563" s="24"/>
      <c r="J563" s="17"/>
      <c r="K563" s="18"/>
      <c r="L563" s="19"/>
      <c r="M563" s="31"/>
      <c r="N563" s="21"/>
      <c r="O563" s="30"/>
      <c r="P563" s="30"/>
      <c r="Q563" s="23"/>
      <c r="R563" s="24"/>
      <c r="U563" t="s">
        <v>176</v>
      </c>
      <c r="V563" t="s">
        <v>177</v>
      </c>
      <c r="X563" t="s">
        <v>178</v>
      </c>
      <c r="Y563" t="s">
        <v>160</v>
      </c>
      <c r="AA563" t="s">
        <v>160</v>
      </c>
      <c r="AB563" t="s">
        <v>179</v>
      </c>
      <c r="AC563" t="s">
        <v>180</v>
      </c>
      <c r="AD563" t="s">
        <v>181</v>
      </c>
    </row>
    <row r="564" spans="1:32" ht="22.15" customHeight="1">
      <c r="A564" s="12">
        <v>380</v>
      </c>
      <c r="B564" s="12"/>
      <c r="C564" s="13"/>
      <c r="D564" s="13"/>
      <c r="E564" s="13"/>
      <c r="F564" s="14"/>
      <c r="G564" s="15"/>
      <c r="H564" s="15"/>
      <c r="I564" s="24"/>
      <c r="J564" s="17"/>
      <c r="K564" s="18"/>
      <c r="L564" s="19"/>
      <c r="M564" s="31"/>
      <c r="N564" s="21"/>
      <c r="O564" s="30"/>
      <c r="P564" s="30"/>
      <c r="Q564" s="23"/>
      <c r="R564" s="24"/>
      <c r="V564" t="s">
        <v>184</v>
      </c>
      <c r="W564" t="s">
        <v>185</v>
      </c>
      <c r="X564" t="s">
        <v>186</v>
      </c>
    </row>
    <row r="565" spans="1:32" ht="18" customHeight="1">
      <c r="A565" s="47" t="s">
        <v>302</v>
      </c>
      <c r="B565" s="48"/>
      <c r="C565" s="48"/>
      <c r="D565" s="48"/>
      <c r="E565" s="49"/>
      <c r="F565" s="50" t="s">
        <v>183</v>
      </c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2"/>
      <c r="U565" t="s">
        <v>320</v>
      </c>
      <c r="W565" t="s">
        <v>321</v>
      </c>
      <c r="X565" t="s">
        <v>322</v>
      </c>
      <c r="Y565" t="s">
        <v>323</v>
      </c>
      <c r="AA565" s="16" t="s">
        <v>167</v>
      </c>
      <c r="AB565" s="16" t="s">
        <v>168</v>
      </c>
      <c r="AC565" s="16" t="s">
        <v>131</v>
      </c>
      <c r="AD565" s="16" t="s">
        <v>253</v>
      </c>
    </row>
    <row r="566" spans="1:32" ht="18" customHeight="1">
      <c r="A566" s="12">
        <v>1</v>
      </c>
      <c r="B566" s="47" t="s">
        <v>187</v>
      </c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9"/>
      <c r="AA566" s="27" t="s">
        <v>188</v>
      </c>
      <c r="AB566" s="27" t="s">
        <v>189</v>
      </c>
      <c r="AC566" s="27" t="s">
        <v>190</v>
      </c>
    </row>
    <row r="567" spans="1:32" ht="18" customHeight="1">
      <c r="A567" s="23">
        <v>2</v>
      </c>
      <c r="B567" s="53" t="s">
        <v>191</v>
      </c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5"/>
      <c r="U567" t="s">
        <v>192</v>
      </c>
      <c r="V567" s="16" t="s">
        <v>193</v>
      </c>
      <c r="W567" t="s">
        <v>194</v>
      </c>
      <c r="Y567" t="s">
        <v>195</v>
      </c>
      <c r="AA567" s="16" t="s">
        <v>173</v>
      </c>
      <c r="AB567" s="16" t="s">
        <v>174</v>
      </c>
      <c r="AC567" s="16" t="s">
        <v>139</v>
      </c>
      <c r="AD567" s="16" t="s">
        <v>196</v>
      </c>
    </row>
    <row r="568" spans="1:32" ht="18" customHeight="1">
      <c r="A568" s="23">
        <v>3</v>
      </c>
      <c r="B568" s="47" t="s">
        <v>197</v>
      </c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9"/>
      <c r="V568" s="16" t="s">
        <v>198</v>
      </c>
      <c r="X568" s="16" t="s">
        <v>199</v>
      </c>
      <c r="Y568" t="s">
        <v>200</v>
      </c>
      <c r="AA568" s="16" t="s">
        <v>179</v>
      </c>
      <c r="AB568" s="16" t="s">
        <v>180</v>
      </c>
      <c r="AC568" s="16" t="s">
        <v>147</v>
      </c>
      <c r="AD568" s="16" t="s">
        <v>201</v>
      </c>
    </row>
    <row r="569" spans="1:32" ht="18" customHeight="1">
      <c r="A569" s="37" t="s">
        <v>202</v>
      </c>
      <c r="B569" s="38"/>
      <c r="C569" s="39">
        <f>C389</f>
        <v>0</v>
      </c>
      <c r="D569" s="39"/>
      <c r="E569" s="37" t="s">
        <v>203</v>
      </c>
      <c r="F569" s="40"/>
      <c r="G569" s="41">
        <f>G389</f>
        <v>0</v>
      </c>
      <c r="H569" s="42"/>
      <c r="I569" s="42"/>
      <c r="J569" s="42"/>
      <c r="K569" s="28" t="s">
        <v>204</v>
      </c>
      <c r="L569" s="43" t="s">
        <v>205</v>
      </c>
      <c r="M569" s="43"/>
      <c r="N569" s="43"/>
      <c r="O569" s="43"/>
      <c r="P569" s="43"/>
      <c r="Q569" s="43"/>
      <c r="R569" s="43"/>
      <c r="U569" t="s">
        <v>206</v>
      </c>
      <c r="W569" s="16" t="s">
        <v>207</v>
      </c>
      <c r="X569" s="16" t="s">
        <v>208</v>
      </c>
    </row>
    <row r="570" spans="1:32" ht="18" customHeight="1">
      <c r="A570" s="37" t="s">
        <v>209</v>
      </c>
      <c r="B570" s="38"/>
      <c r="C570" s="39">
        <f>C390</f>
        <v>0</v>
      </c>
      <c r="D570" s="39"/>
      <c r="E570" s="37" t="s">
        <v>210</v>
      </c>
      <c r="F570" s="40"/>
      <c r="G570" s="41">
        <f>G390</f>
        <v>0</v>
      </c>
      <c r="H570" s="42"/>
      <c r="I570" s="42"/>
      <c r="J570" s="42"/>
      <c r="K570" s="28" t="s">
        <v>204</v>
      </c>
      <c r="L570" s="43" t="s">
        <v>205</v>
      </c>
      <c r="M570" s="43"/>
      <c r="N570" s="43"/>
      <c r="O570" s="43"/>
      <c r="P570" s="43"/>
      <c r="Q570" s="43"/>
      <c r="R570" s="43"/>
      <c r="V570" s="16" t="s">
        <v>211</v>
      </c>
      <c r="W570" s="16" t="s">
        <v>212</v>
      </c>
      <c r="Y570" t="s">
        <v>213</v>
      </c>
      <c r="AA570" s="16" t="s">
        <v>214</v>
      </c>
      <c r="AB570" s="16" t="s">
        <v>214</v>
      </c>
      <c r="AC570" s="16" t="s">
        <v>215</v>
      </c>
      <c r="AD570" s="16" t="s">
        <v>216</v>
      </c>
    </row>
    <row r="571" spans="1:32" ht="48" customHeight="1">
      <c r="A571" s="69" t="s">
        <v>0</v>
      </c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1" t="s">
        <v>1</v>
      </c>
      <c r="M571" s="71"/>
      <c r="N571" s="71"/>
      <c r="O571" s="71"/>
      <c r="P571" s="71"/>
      <c r="Q571" s="1" t="s">
        <v>2</v>
      </c>
      <c r="R571" s="2" t="s">
        <v>3</v>
      </c>
      <c r="S571" s="3"/>
      <c r="T571" s="3" t="s">
        <v>4</v>
      </c>
      <c r="U571" s="4" t="s">
        <v>5</v>
      </c>
      <c r="V571" s="4" t="s">
        <v>6</v>
      </c>
      <c r="W571" s="4" t="s">
        <v>7</v>
      </c>
      <c r="X571" s="4" t="s">
        <v>8</v>
      </c>
      <c r="Y571" s="4" t="s">
        <v>9</v>
      </c>
      <c r="Z571" s="4"/>
      <c r="AA571" s="4" t="s">
        <v>10</v>
      </c>
      <c r="AB571" s="4" t="s">
        <v>11</v>
      </c>
      <c r="AC571" s="4" t="s">
        <v>12</v>
      </c>
      <c r="AD571" s="4" t="s">
        <v>13</v>
      </c>
      <c r="AE571" s="4" t="s">
        <v>14</v>
      </c>
      <c r="AF571" s="4" t="s">
        <v>15</v>
      </c>
    </row>
    <row r="572" spans="1:32" s="8" customFormat="1" ht="18" customHeight="1">
      <c r="A572" s="5" t="s">
        <v>16</v>
      </c>
      <c r="B572" s="44">
        <f>B362</f>
        <v>0</v>
      </c>
      <c r="C572" s="45"/>
      <c r="D572" s="45"/>
      <c r="E572" s="6" t="str">
        <f>E362</f>
        <v>Version:1</v>
      </c>
      <c r="F572" s="72" t="s">
        <v>18</v>
      </c>
      <c r="G572" s="74" t="s">
        <v>19</v>
      </c>
      <c r="H572" s="74" t="s">
        <v>20</v>
      </c>
      <c r="I572" s="77" t="s">
        <v>21</v>
      </c>
      <c r="J572" s="62" t="s">
        <v>22</v>
      </c>
      <c r="K572" s="79" t="s">
        <v>23</v>
      </c>
      <c r="L572" s="62" t="s">
        <v>24</v>
      </c>
      <c r="M572" s="56" t="s">
        <v>25</v>
      </c>
      <c r="N572" s="59" t="s">
        <v>26</v>
      </c>
      <c r="O572" s="62" t="s">
        <v>27</v>
      </c>
      <c r="P572" s="65" t="s">
        <v>28</v>
      </c>
      <c r="Q572" s="66" t="s">
        <v>29</v>
      </c>
      <c r="R572" s="68" t="s">
        <v>30</v>
      </c>
      <c r="S572"/>
      <c r="T572" s="7" t="str">
        <f>IF(C605&gt;18,IF(C605=20,Nennweite20,IF(C605=60,U574,IF(C605=50,Nennweite50,IF(C605=25,Nennweite25,IF(C605=32,Nennweite32,IF(C605=40,Nennweite40,"&gt;")))))),IF(C605=8,Nennweite8,IF(C605=6,Nennweite6,IF(C605=10,Nennweite10,IF(C605=18,Nennweite18,IF(C605=16,Nennweite16,IF(C605=12,Nennweite12,"")))))))</f>
        <v/>
      </c>
      <c r="U572" t="s">
        <v>31</v>
      </c>
      <c r="V572" t="s">
        <v>32</v>
      </c>
      <c r="W572" t="s">
        <v>33</v>
      </c>
      <c r="X572" t="s">
        <v>34</v>
      </c>
      <c r="Y572" t="s">
        <v>35</v>
      </c>
      <c r="Z572"/>
      <c r="AA572" t="s">
        <v>36</v>
      </c>
      <c r="AB572" t="s">
        <v>37</v>
      </c>
      <c r="AC572" t="s">
        <v>38</v>
      </c>
      <c r="AD572" t="s">
        <v>39</v>
      </c>
      <c r="AE572" t="s">
        <v>40</v>
      </c>
      <c r="AF572" t="s">
        <v>41</v>
      </c>
    </row>
    <row r="573" spans="1:32" ht="18" customHeight="1">
      <c r="A573" s="5" t="s">
        <v>42</v>
      </c>
      <c r="B573" s="44">
        <f>B363</f>
        <v>0</v>
      </c>
      <c r="C573" s="45"/>
      <c r="D573" s="45"/>
      <c r="E573" s="46"/>
      <c r="F573" s="72"/>
      <c r="G573" s="75"/>
      <c r="H573" s="75"/>
      <c r="I573" s="77"/>
      <c r="J573" s="63"/>
      <c r="K573" s="80"/>
      <c r="L573" s="63"/>
      <c r="M573" s="57"/>
      <c r="N573" s="60"/>
      <c r="O573" s="63"/>
      <c r="P573" s="63"/>
      <c r="Q573" s="66"/>
      <c r="R573" s="66"/>
      <c r="U573" t="s">
        <v>43</v>
      </c>
      <c r="V573" t="s">
        <v>44</v>
      </c>
      <c r="W573" t="s">
        <v>45</v>
      </c>
      <c r="X573" t="s">
        <v>46</v>
      </c>
      <c r="Y573" t="s">
        <v>47</v>
      </c>
      <c r="AA573" t="s">
        <v>48</v>
      </c>
      <c r="AB573" t="s">
        <v>49</v>
      </c>
      <c r="AC573" t="s">
        <v>50</v>
      </c>
      <c r="AD573" t="s">
        <v>51</v>
      </c>
      <c r="AE573" t="s">
        <v>52</v>
      </c>
      <c r="AF573" t="s">
        <v>53</v>
      </c>
    </row>
    <row r="574" spans="1:32" ht="18" customHeight="1" thickBot="1">
      <c r="A574" s="9" t="s">
        <v>54</v>
      </c>
      <c r="B574" s="10" t="s">
        <v>55</v>
      </c>
      <c r="C574" s="10" t="s">
        <v>56</v>
      </c>
      <c r="D574" s="11" t="s">
        <v>57</v>
      </c>
      <c r="E574" s="9" t="s">
        <v>58</v>
      </c>
      <c r="F574" s="73"/>
      <c r="G574" s="76"/>
      <c r="H574" s="76"/>
      <c r="I574" s="78"/>
      <c r="J574" s="64"/>
      <c r="K574" s="81"/>
      <c r="L574" s="64"/>
      <c r="M574" s="58"/>
      <c r="N574" s="61"/>
      <c r="O574" s="64"/>
      <c r="P574" s="64"/>
      <c r="Q574" s="67"/>
      <c r="R574" s="67"/>
      <c r="U574" t="s">
        <v>59</v>
      </c>
      <c r="V574" t="s">
        <v>60</v>
      </c>
      <c r="W574" t="s">
        <v>61</v>
      </c>
      <c r="X574" t="s">
        <v>62</v>
      </c>
      <c r="Y574" t="s">
        <v>63</v>
      </c>
      <c r="AA574" t="s">
        <v>64</v>
      </c>
      <c r="AB574" t="s">
        <v>65</v>
      </c>
      <c r="AC574" t="s">
        <v>66</v>
      </c>
      <c r="AD574" t="s">
        <v>67</v>
      </c>
      <c r="AE574" t="s">
        <v>68</v>
      </c>
      <c r="AF574" t="s">
        <v>69</v>
      </c>
    </row>
    <row r="575" spans="1:32" ht="22.15" customHeight="1">
      <c r="A575" s="12">
        <v>381</v>
      </c>
      <c r="B575" s="13"/>
      <c r="C575" s="13"/>
      <c r="D575" s="13"/>
      <c r="E575" s="13"/>
      <c r="F575" s="14"/>
      <c r="G575" s="15"/>
      <c r="H575" s="15"/>
      <c r="I575" s="24"/>
      <c r="J575" s="17"/>
      <c r="K575" s="18"/>
      <c r="L575" s="19"/>
      <c r="M575" s="31"/>
      <c r="N575" s="21"/>
      <c r="O575" s="30"/>
      <c r="P575" s="30"/>
      <c r="Q575" s="23"/>
      <c r="R575" s="24"/>
      <c r="U575" t="s">
        <v>70</v>
      </c>
      <c r="V575" t="s">
        <v>71</v>
      </c>
      <c r="W575" t="s">
        <v>72</v>
      </c>
      <c r="X575" t="s">
        <v>73</v>
      </c>
      <c r="Y575" t="s">
        <v>74</v>
      </c>
      <c r="AA575" t="s">
        <v>75</v>
      </c>
      <c r="AB575" t="s">
        <v>76</v>
      </c>
      <c r="AC575" t="s">
        <v>77</v>
      </c>
      <c r="AD575" t="s">
        <v>78</v>
      </c>
      <c r="AE575" t="s">
        <v>79</v>
      </c>
    </row>
    <row r="576" spans="1:32" ht="22.15" customHeight="1">
      <c r="A576" s="12">
        <v>382</v>
      </c>
      <c r="B576" s="13"/>
      <c r="C576" s="13"/>
      <c r="D576" s="13"/>
      <c r="E576" s="13"/>
      <c r="F576" s="14"/>
      <c r="G576" s="15"/>
      <c r="H576" s="15"/>
      <c r="I576" s="24"/>
      <c r="J576" s="17"/>
      <c r="K576" s="18"/>
      <c r="L576" s="19"/>
      <c r="M576" s="31"/>
      <c r="N576" s="21"/>
      <c r="O576" s="30"/>
      <c r="P576" s="30"/>
      <c r="Q576" s="23"/>
      <c r="R576" s="24"/>
      <c r="U576" t="s">
        <v>80</v>
      </c>
      <c r="X576" t="s">
        <v>81</v>
      </c>
      <c r="Y576" t="s">
        <v>82</v>
      </c>
      <c r="AA576" t="s">
        <v>83</v>
      </c>
      <c r="AB576" t="s">
        <v>84</v>
      </c>
      <c r="AC576" t="s">
        <v>85</v>
      </c>
      <c r="AD576" t="s">
        <v>86</v>
      </c>
      <c r="AE576" t="s">
        <v>87</v>
      </c>
    </row>
    <row r="577" spans="1:31" ht="22.15" customHeight="1">
      <c r="A577" s="12">
        <v>383</v>
      </c>
      <c r="B577" s="13"/>
      <c r="C577" s="13"/>
      <c r="D577" s="13"/>
      <c r="E577" s="13"/>
      <c r="F577" s="14"/>
      <c r="G577" s="15"/>
      <c r="H577" s="15"/>
      <c r="I577" s="24"/>
      <c r="J577" s="17"/>
      <c r="K577" s="18"/>
      <c r="L577" s="19"/>
      <c r="M577" s="31"/>
      <c r="N577" s="21"/>
      <c r="O577" s="30"/>
      <c r="P577" s="30"/>
      <c r="Q577" s="23"/>
      <c r="R577" s="24"/>
      <c r="U577" t="s">
        <v>88</v>
      </c>
      <c r="V577" t="s">
        <v>89</v>
      </c>
      <c r="W577" t="s">
        <v>90</v>
      </c>
      <c r="X577" t="s">
        <v>91</v>
      </c>
      <c r="Y577" t="s">
        <v>92</v>
      </c>
      <c r="AA577" t="s">
        <v>93</v>
      </c>
      <c r="AB577" t="s">
        <v>94</v>
      </c>
      <c r="AC577" t="s">
        <v>95</v>
      </c>
      <c r="AD577" t="s">
        <v>96</v>
      </c>
      <c r="AE577" t="s">
        <v>97</v>
      </c>
    </row>
    <row r="578" spans="1:31" ht="22.15" customHeight="1">
      <c r="A578" s="12">
        <v>384</v>
      </c>
      <c r="B578" s="12"/>
      <c r="C578" s="13"/>
      <c r="D578" s="13"/>
      <c r="E578" s="13"/>
      <c r="F578" s="14"/>
      <c r="G578" s="15"/>
      <c r="H578" s="15"/>
      <c r="I578" s="24"/>
      <c r="J578" s="17"/>
      <c r="K578" s="18"/>
      <c r="L578" s="19"/>
      <c r="M578" s="31"/>
      <c r="N578" s="21"/>
      <c r="O578" s="30"/>
      <c r="P578" s="30"/>
      <c r="Q578" s="23"/>
      <c r="R578" s="24"/>
      <c r="V578" t="s">
        <v>98</v>
      </c>
      <c r="W578" t="s">
        <v>99</v>
      </c>
    </row>
    <row r="579" spans="1:31" ht="22.15" customHeight="1">
      <c r="A579" s="12">
        <v>385</v>
      </c>
      <c r="B579" s="12"/>
      <c r="C579" s="13"/>
      <c r="D579" s="13"/>
      <c r="E579" s="13"/>
      <c r="F579" s="14"/>
      <c r="G579" s="15"/>
      <c r="H579" s="15"/>
      <c r="I579" s="24"/>
      <c r="J579" s="17"/>
      <c r="K579" s="18"/>
      <c r="L579" s="19"/>
      <c r="M579" s="31"/>
      <c r="N579" s="21"/>
      <c r="O579" s="30"/>
      <c r="P579" s="30"/>
      <c r="Q579" s="23"/>
      <c r="R579" s="24"/>
      <c r="U579" t="s">
        <v>100</v>
      </c>
      <c r="V579" t="s">
        <v>101</v>
      </c>
      <c r="W579" t="s">
        <v>102</v>
      </c>
      <c r="X579" t="s">
        <v>103</v>
      </c>
      <c r="Y579" t="s">
        <v>103</v>
      </c>
      <c r="AA579" t="s">
        <v>104</v>
      </c>
      <c r="AB579" t="s">
        <v>105</v>
      </c>
      <c r="AC579" t="s">
        <v>106</v>
      </c>
      <c r="AD579" t="s">
        <v>40</v>
      </c>
      <c r="AE579" t="s">
        <v>107</v>
      </c>
    </row>
    <row r="580" spans="1:31" ht="22.15" customHeight="1">
      <c r="A580" s="12">
        <v>386</v>
      </c>
      <c r="B580" s="12"/>
      <c r="C580" s="13"/>
      <c r="D580" s="13"/>
      <c r="E580" s="13"/>
      <c r="F580" s="14"/>
      <c r="G580" s="15"/>
      <c r="H580" s="15"/>
      <c r="I580" s="24"/>
      <c r="J580" s="17"/>
      <c r="K580" s="18"/>
      <c r="L580" s="19"/>
      <c r="M580" s="31"/>
      <c r="N580" s="21"/>
      <c r="O580" s="30"/>
      <c r="P580" s="30"/>
      <c r="Q580" s="23"/>
      <c r="R580" s="24"/>
      <c r="X580" t="s">
        <v>108</v>
      </c>
      <c r="Y580" t="s">
        <v>108</v>
      </c>
      <c r="AA580" t="s">
        <v>109</v>
      </c>
      <c r="AB580" t="s">
        <v>110</v>
      </c>
      <c r="AC580" t="s">
        <v>111</v>
      </c>
      <c r="AD580" t="s">
        <v>52</v>
      </c>
    </row>
    <row r="581" spans="1:31" ht="22.15" customHeight="1">
      <c r="A581" s="12">
        <v>387</v>
      </c>
      <c r="B581" s="12"/>
      <c r="C581" s="13"/>
      <c r="D581" s="13"/>
      <c r="E581" s="13"/>
      <c r="F581" s="14"/>
      <c r="G581" s="15"/>
      <c r="H581" s="15"/>
      <c r="I581" s="24"/>
      <c r="J581" s="17"/>
      <c r="K581" s="18"/>
      <c r="L581" s="19"/>
      <c r="M581" s="31"/>
      <c r="N581" s="21"/>
      <c r="O581" s="30"/>
      <c r="P581" s="30"/>
      <c r="Q581" s="23"/>
      <c r="R581" s="24"/>
      <c r="U581" t="s">
        <v>112</v>
      </c>
      <c r="V581" t="s">
        <v>113</v>
      </c>
      <c r="W581" t="s">
        <v>114</v>
      </c>
      <c r="X581" t="s">
        <v>115</v>
      </c>
      <c r="Y581" t="s">
        <v>116</v>
      </c>
      <c r="AA581" t="s">
        <v>117</v>
      </c>
      <c r="AB581" t="s">
        <v>118</v>
      </c>
      <c r="AC581" t="s">
        <v>119</v>
      </c>
      <c r="AD581" t="s">
        <v>68</v>
      </c>
      <c r="AE581" t="s">
        <v>120</v>
      </c>
    </row>
    <row r="582" spans="1:31" ht="22.15" customHeight="1">
      <c r="A582" s="12">
        <v>388</v>
      </c>
      <c r="B582" s="12"/>
      <c r="C582" s="13"/>
      <c r="D582" s="13"/>
      <c r="E582" s="13"/>
      <c r="F582" s="14"/>
      <c r="G582" s="15"/>
      <c r="H582" s="15"/>
      <c r="I582" s="24"/>
      <c r="J582" s="17"/>
      <c r="K582" s="18"/>
      <c r="L582" s="19"/>
      <c r="M582" s="31"/>
      <c r="N582" s="21"/>
      <c r="O582" s="30"/>
      <c r="P582" s="30"/>
      <c r="Q582" s="23"/>
      <c r="R582" s="24"/>
      <c r="V582" t="s">
        <v>121</v>
      </c>
      <c r="W582" t="s">
        <v>122</v>
      </c>
      <c r="AE582" t="s">
        <v>123</v>
      </c>
    </row>
    <row r="583" spans="1:31" ht="22.15" customHeight="1">
      <c r="A583" s="12">
        <v>389</v>
      </c>
      <c r="B583" s="12"/>
      <c r="C583" s="13"/>
      <c r="D583" s="13"/>
      <c r="E583" s="13"/>
      <c r="F583" s="14"/>
      <c r="G583" s="15"/>
      <c r="H583" s="15"/>
      <c r="I583" s="24"/>
      <c r="J583" s="17"/>
      <c r="K583" s="18"/>
      <c r="L583" s="19"/>
      <c r="M583" s="31"/>
      <c r="N583" s="21"/>
      <c r="O583" s="30"/>
      <c r="P583" s="30"/>
      <c r="Q583" s="23"/>
      <c r="R583" s="24"/>
      <c r="U583" t="s">
        <v>124</v>
      </c>
      <c r="V583" t="s">
        <v>125</v>
      </c>
      <c r="W583" t="s">
        <v>126</v>
      </c>
      <c r="X583" t="s">
        <v>127</v>
      </c>
      <c r="Y583" t="s">
        <v>128</v>
      </c>
      <c r="AA583" t="s">
        <v>128</v>
      </c>
      <c r="AB583" t="s">
        <v>129</v>
      </c>
      <c r="AC583" t="s">
        <v>130</v>
      </c>
      <c r="AD583" t="s">
        <v>131</v>
      </c>
      <c r="AE583" t="s">
        <v>132</v>
      </c>
    </row>
    <row r="584" spans="1:31" ht="22.15" customHeight="1">
      <c r="A584" s="12">
        <v>390</v>
      </c>
      <c r="B584" s="12"/>
      <c r="C584" s="13"/>
      <c r="D584" s="13"/>
      <c r="E584" s="13"/>
      <c r="F584" s="14"/>
      <c r="G584" s="15"/>
      <c r="H584" s="15"/>
      <c r="I584" s="24"/>
      <c r="J584" s="17"/>
      <c r="K584" s="18"/>
      <c r="L584" s="19"/>
      <c r="M584" s="31"/>
      <c r="N584" s="21"/>
      <c r="O584" s="30"/>
      <c r="P584" s="30"/>
      <c r="Q584" s="23"/>
      <c r="R584" s="24"/>
      <c r="U584" t="s">
        <v>134</v>
      </c>
      <c r="X584" t="s">
        <v>135</v>
      </c>
      <c r="Y584" t="s">
        <v>136</v>
      </c>
      <c r="AA584" t="s">
        <v>136</v>
      </c>
      <c r="AB584" t="s">
        <v>137</v>
      </c>
      <c r="AC584" t="s">
        <v>138</v>
      </c>
      <c r="AD584" t="s">
        <v>139</v>
      </c>
    </row>
    <row r="585" spans="1:31" ht="22.15" customHeight="1">
      <c r="A585" s="12">
        <v>391</v>
      </c>
      <c r="B585" s="12"/>
      <c r="C585" s="13"/>
      <c r="D585" s="13"/>
      <c r="E585" s="13"/>
      <c r="F585" s="14"/>
      <c r="G585" s="15"/>
      <c r="H585" s="15"/>
      <c r="I585" s="24"/>
      <c r="J585" s="17"/>
      <c r="K585" s="18"/>
      <c r="L585" s="19"/>
      <c r="M585" s="31"/>
      <c r="N585" s="21"/>
      <c r="O585" s="30"/>
      <c r="P585" s="30"/>
      <c r="Q585" s="23"/>
      <c r="R585" s="24"/>
      <c r="U585" t="s">
        <v>140</v>
      </c>
      <c r="V585" t="s">
        <v>141</v>
      </c>
      <c r="W585" t="s">
        <v>142</v>
      </c>
      <c r="X585" t="s">
        <v>143</v>
      </c>
      <c r="Y585" t="s">
        <v>144</v>
      </c>
      <c r="AA585" t="s">
        <v>144</v>
      </c>
      <c r="AB585" t="s">
        <v>145</v>
      </c>
      <c r="AC585" t="s">
        <v>146</v>
      </c>
      <c r="AD585" t="s">
        <v>147</v>
      </c>
    </row>
    <row r="586" spans="1:31" ht="22.15" customHeight="1">
      <c r="A586" s="12">
        <v>392</v>
      </c>
      <c r="B586" s="12"/>
      <c r="C586" s="13"/>
      <c r="D586" s="13"/>
      <c r="E586" s="13"/>
      <c r="F586" s="14"/>
      <c r="G586" s="15"/>
      <c r="H586" s="15"/>
      <c r="I586" s="24"/>
      <c r="J586" s="17"/>
      <c r="K586" s="18"/>
      <c r="L586" s="19"/>
      <c r="M586" s="31"/>
      <c r="N586" s="21"/>
      <c r="O586" s="30"/>
      <c r="P586" s="30"/>
      <c r="Q586" s="23"/>
      <c r="R586" s="24"/>
      <c r="V586" t="s">
        <v>148</v>
      </c>
    </row>
    <row r="587" spans="1:31" ht="22.15" customHeight="1">
      <c r="A587" s="12">
        <v>393</v>
      </c>
      <c r="B587" s="12"/>
      <c r="C587" s="13"/>
      <c r="D587" s="13"/>
      <c r="E587" s="13"/>
      <c r="F587" s="14"/>
      <c r="G587" s="15"/>
      <c r="H587" s="15"/>
      <c r="I587" s="24"/>
      <c r="J587" s="17"/>
      <c r="K587" s="18"/>
      <c r="L587" s="19"/>
      <c r="M587" s="31"/>
      <c r="N587" s="21"/>
      <c r="O587" s="30"/>
      <c r="P587" s="30"/>
      <c r="Q587" s="23"/>
      <c r="R587" s="24"/>
      <c r="U587" t="s">
        <v>149</v>
      </c>
      <c r="W587" t="s">
        <v>150</v>
      </c>
      <c r="X587" t="s">
        <v>151</v>
      </c>
      <c r="Y587" t="s">
        <v>127</v>
      </c>
      <c r="AA587" t="s">
        <v>129</v>
      </c>
      <c r="AB587" t="s">
        <v>130</v>
      </c>
      <c r="AC587" t="s">
        <v>78</v>
      </c>
      <c r="AD587" t="s">
        <v>152</v>
      </c>
    </row>
    <row r="588" spans="1:31" ht="22.15" customHeight="1">
      <c r="A588" s="12">
        <v>394</v>
      </c>
      <c r="B588" s="12"/>
      <c r="C588" s="13"/>
      <c r="D588" s="13"/>
      <c r="E588" s="13"/>
      <c r="F588" s="14"/>
      <c r="G588" s="15"/>
      <c r="H588" s="15"/>
      <c r="I588" s="24"/>
      <c r="J588" s="17"/>
      <c r="K588" s="18"/>
      <c r="L588" s="19"/>
      <c r="M588" s="31"/>
      <c r="N588" s="21"/>
      <c r="O588" s="30"/>
      <c r="P588" s="30"/>
      <c r="Q588" s="23"/>
      <c r="R588" s="24"/>
      <c r="U588" t="s">
        <v>153</v>
      </c>
      <c r="V588" t="s">
        <v>154</v>
      </c>
      <c r="W588" t="s">
        <v>155</v>
      </c>
      <c r="X588" t="s">
        <v>156</v>
      </c>
      <c r="Y588" t="s">
        <v>135</v>
      </c>
      <c r="AA588" t="s">
        <v>137</v>
      </c>
      <c r="AB588" t="s">
        <v>138</v>
      </c>
      <c r="AC588" t="s">
        <v>86</v>
      </c>
      <c r="AD588" t="s">
        <v>157</v>
      </c>
    </row>
    <row r="589" spans="1:31" ht="22.15" customHeight="1">
      <c r="A589" s="12">
        <v>395</v>
      </c>
      <c r="B589" s="12"/>
      <c r="C589" s="13"/>
      <c r="D589" s="13"/>
      <c r="E589" s="13"/>
      <c r="F589" s="14"/>
      <c r="G589" s="15"/>
      <c r="H589" s="15"/>
      <c r="I589" s="24"/>
      <c r="J589" s="17"/>
      <c r="K589" s="18"/>
      <c r="L589" s="19"/>
      <c r="M589" s="31"/>
      <c r="N589" s="21"/>
      <c r="O589" s="30"/>
      <c r="P589" s="30"/>
      <c r="Q589" s="23"/>
      <c r="R589" s="24"/>
      <c r="U589" t="s">
        <v>158</v>
      </c>
      <c r="V589" t="s">
        <v>159</v>
      </c>
      <c r="X589" t="s">
        <v>160</v>
      </c>
      <c r="Y589" t="s">
        <v>143</v>
      </c>
      <c r="AA589" t="s">
        <v>145</v>
      </c>
      <c r="AB589" t="s">
        <v>146</v>
      </c>
      <c r="AC589" t="s">
        <v>96</v>
      </c>
      <c r="AD589" t="s">
        <v>161</v>
      </c>
    </row>
    <row r="590" spans="1:31" ht="22.15" customHeight="1">
      <c r="A590" s="12">
        <v>396</v>
      </c>
      <c r="B590" s="12"/>
      <c r="C590" s="13"/>
      <c r="D590" s="13"/>
      <c r="E590" s="13"/>
      <c r="F590" s="14"/>
      <c r="G590" s="15"/>
      <c r="H590" s="15"/>
      <c r="I590" s="24"/>
      <c r="J590" s="17"/>
      <c r="K590" s="18"/>
      <c r="L590" s="19"/>
      <c r="M590" s="31"/>
      <c r="N590" s="21"/>
      <c r="O590" s="30"/>
      <c r="P590" s="30"/>
      <c r="Q590" s="23"/>
      <c r="R590" s="24"/>
      <c r="V590" t="s">
        <v>162</v>
      </c>
      <c r="W590" t="s">
        <v>163</v>
      </c>
    </row>
    <row r="591" spans="1:31" ht="22.15" customHeight="1">
      <c r="A591" s="12">
        <v>397</v>
      </c>
      <c r="B591" s="12"/>
      <c r="C591" s="13"/>
      <c r="D591" s="13"/>
      <c r="E591" s="13"/>
      <c r="F591" s="14"/>
      <c r="G591" s="15"/>
      <c r="H591" s="15"/>
      <c r="I591" s="24"/>
      <c r="J591" s="17"/>
      <c r="K591" s="18"/>
      <c r="L591" s="19"/>
      <c r="M591" s="31"/>
      <c r="N591" s="21"/>
      <c r="O591" s="30"/>
      <c r="P591" s="30"/>
      <c r="Q591" s="23"/>
      <c r="R591" s="24"/>
      <c r="U591" t="s">
        <v>164</v>
      </c>
      <c r="W591" t="s">
        <v>165</v>
      </c>
      <c r="X591" t="s">
        <v>166</v>
      </c>
      <c r="Y591" t="s">
        <v>151</v>
      </c>
      <c r="AA591" t="s">
        <v>151</v>
      </c>
      <c r="AB591" t="s">
        <v>167</v>
      </c>
      <c r="AC591" t="s">
        <v>168</v>
      </c>
      <c r="AD591" t="s">
        <v>169</v>
      </c>
    </row>
    <row r="592" spans="1:31" ht="22.15" customHeight="1">
      <c r="A592" s="12">
        <v>398</v>
      </c>
      <c r="B592" s="12"/>
      <c r="C592" s="13"/>
      <c r="D592" s="13"/>
      <c r="E592" s="13"/>
      <c r="F592" s="14"/>
      <c r="G592" s="15"/>
      <c r="H592" s="15"/>
      <c r="I592" s="24"/>
      <c r="J592" s="17"/>
      <c r="K592" s="18"/>
      <c r="L592" s="19"/>
      <c r="M592" s="31"/>
      <c r="N592" s="21"/>
      <c r="O592" s="30"/>
      <c r="P592" s="30"/>
      <c r="Q592" s="23"/>
      <c r="R592" s="24"/>
      <c r="U592" t="s">
        <v>170</v>
      </c>
      <c r="V592" t="s">
        <v>171</v>
      </c>
      <c r="W592" t="s">
        <v>172</v>
      </c>
      <c r="Y592" t="s">
        <v>156</v>
      </c>
      <c r="AA592" t="s">
        <v>156</v>
      </c>
      <c r="AB592" t="s">
        <v>173</v>
      </c>
      <c r="AC592" t="s">
        <v>174</v>
      </c>
      <c r="AD592" t="s">
        <v>175</v>
      </c>
    </row>
    <row r="593" spans="1:32" ht="22.15" customHeight="1">
      <c r="A593" s="12">
        <v>399</v>
      </c>
      <c r="B593" s="12"/>
      <c r="C593" s="13"/>
      <c r="D593" s="13"/>
      <c r="E593" s="13"/>
      <c r="F593" s="14"/>
      <c r="G593" s="15"/>
      <c r="H593" s="15"/>
      <c r="I593" s="24"/>
      <c r="J593" s="17"/>
      <c r="K593" s="18"/>
      <c r="L593" s="19"/>
      <c r="M593" s="31"/>
      <c r="N593" s="21"/>
      <c r="O593" s="30"/>
      <c r="P593" s="30"/>
      <c r="Q593" s="23"/>
      <c r="R593" s="24"/>
      <c r="U593" t="s">
        <v>176</v>
      </c>
      <c r="V593" t="s">
        <v>177</v>
      </c>
      <c r="X593" t="s">
        <v>178</v>
      </c>
      <c r="Y593" t="s">
        <v>160</v>
      </c>
      <c r="AA593" t="s">
        <v>160</v>
      </c>
      <c r="AB593" t="s">
        <v>179</v>
      </c>
      <c r="AC593" t="s">
        <v>180</v>
      </c>
      <c r="AD593" t="s">
        <v>181</v>
      </c>
    </row>
    <row r="594" spans="1:32" ht="22.15" customHeight="1">
      <c r="A594" s="12">
        <v>400</v>
      </c>
      <c r="B594" s="12"/>
      <c r="C594" s="13"/>
      <c r="D594" s="13"/>
      <c r="E594" s="13"/>
      <c r="F594" s="14"/>
      <c r="G594" s="15"/>
      <c r="H594" s="15"/>
      <c r="I594" s="24"/>
      <c r="J594" s="17"/>
      <c r="K594" s="18"/>
      <c r="L594" s="19"/>
      <c r="M594" s="31"/>
      <c r="N594" s="21"/>
      <c r="O594" s="30"/>
      <c r="P594" s="30"/>
      <c r="Q594" s="23"/>
      <c r="R594" s="24"/>
      <c r="V594" t="s">
        <v>184</v>
      </c>
      <c r="W594" t="s">
        <v>185</v>
      </c>
      <c r="X594" t="s">
        <v>186</v>
      </c>
    </row>
    <row r="595" spans="1:32" ht="18" customHeight="1">
      <c r="A595" s="47" t="s">
        <v>302</v>
      </c>
      <c r="B595" s="48"/>
      <c r="C595" s="48"/>
      <c r="D595" s="48"/>
      <c r="E595" s="49"/>
      <c r="F595" s="50" t="s">
        <v>183</v>
      </c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2"/>
      <c r="U595" t="s">
        <v>320</v>
      </c>
      <c r="W595" t="s">
        <v>321</v>
      </c>
      <c r="X595" t="s">
        <v>322</v>
      </c>
      <c r="Y595" t="s">
        <v>323</v>
      </c>
      <c r="AA595" s="16" t="s">
        <v>167</v>
      </c>
      <c r="AB595" s="16" t="s">
        <v>168</v>
      </c>
      <c r="AC595" s="16" t="s">
        <v>131</v>
      </c>
      <c r="AD595" s="16" t="s">
        <v>253</v>
      </c>
    </row>
    <row r="596" spans="1:32" ht="18" customHeight="1">
      <c r="A596" s="12">
        <v>1</v>
      </c>
      <c r="B596" s="47" t="s">
        <v>187</v>
      </c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9"/>
      <c r="AA596" s="27" t="s">
        <v>188</v>
      </c>
      <c r="AB596" s="27" t="s">
        <v>189</v>
      </c>
      <c r="AC596" s="27" t="s">
        <v>190</v>
      </c>
    </row>
    <row r="597" spans="1:32" ht="18" customHeight="1">
      <c r="A597" s="23">
        <v>2</v>
      </c>
      <c r="B597" s="53" t="s">
        <v>191</v>
      </c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5"/>
      <c r="U597" t="s">
        <v>192</v>
      </c>
      <c r="V597" s="16" t="s">
        <v>193</v>
      </c>
      <c r="W597" t="s">
        <v>194</v>
      </c>
      <c r="Y597" t="s">
        <v>195</v>
      </c>
      <c r="AA597" s="16" t="s">
        <v>173</v>
      </c>
      <c r="AB597" s="16" t="s">
        <v>174</v>
      </c>
      <c r="AC597" s="16" t="s">
        <v>139</v>
      </c>
      <c r="AD597" s="16" t="s">
        <v>196</v>
      </c>
    </row>
    <row r="598" spans="1:32" ht="18" customHeight="1">
      <c r="A598" s="23">
        <v>3</v>
      </c>
      <c r="B598" s="47" t="s">
        <v>197</v>
      </c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9"/>
      <c r="V598" s="16" t="s">
        <v>198</v>
      </c>
      <c r="X598" s="16" t="s">
        <v>199</v>
      </c>
      <c r="Y598" t="s">
        <v>200</v>
      </c>
      <c r="AA598" s="16" t="s">
        <v>179</v>
      </c>
      <c r="AB598" s="16" t="s">
        <v>180</v>
      </c>
      <c r="AC598" s="16" t="s">
        <v>147</v>
      </c>
      <c r="AD598" s="16" t="s">
        <v>201</v>
      </c>
    </row>
    <row r="599" spans="1:32" ht="18" customHeight="1">
      <c r="A599" s="37" t="s">
        <v>202</v>
      </c>
      <c r="B599" s="38"/>
      <c r="C599" s="39">
        <f>C389</f>
        <v>0</v>
      </c>
      <c r="D599" s="39"/>
      <c r="E599" s="37" t="s">
        <v>203</v>
      </c>
      <c r="F599" s="40"/>
      <c r="G599" s="41">
        <f>G389</f>
        <v>0</v>
      </c>
      <c r="H599" s="42"/>
      <c r="I599" s="42"/>
      <c r="J599" s="42"/>
      <c r="K599" s="28" t="s">
        <v>204</v>
      </c>
      <c r="L599" s="43" t="s">
        <v>205</v>
      </c>
      <c r="M599" s="43"/>
      <c r="N599" s="43"/>
      <c r="O599" s="43"/>
      <c r="P599" s="43"/>
      <c r="Q599" s="43"/>
      <c r="R599" s="43"/>
      <c r="U599" t="s">
        <v>206</v>
      </c>
      <c r="W599" s="16" t="s">
        <v>207</v>
      </c>
      <c r="X599" s="16" t="s">
        <v>208</v>
      </c>
    </row>
    <row r="600" spans="1:32" ht="18" customHeight="1">
      <c r="A600" s="37" t="s">
        <v>209</v>
      </c>
      <c r="B600" s="38"/>
      <c r="C600" s="39">
        <f>C390</f>
        <v>0</v>
      </c>
      <c r="D600" s="39"/>
      <c r="E600" s="37" t="s">
        <v>210</v>
      </c>
      <c r="F600" s="40"/>
      <c r="G600" s="41">
        <f>G390</f>
        <v>0</v>
      </c>
      <c r="H600" s="42"/>
      <c r="I600" s="42"/>
      <c r="J600" s="42"/>
      <c r="K600" s="28" t="s">
        <v>204</v>
      </c>
      <c r="L600" s="43" t="s">
        <v>205</v>
      </c>
      <c r="M600" s="43"/>
      <c r="N600" s="43"/>
      <c r="O600" s="43"/>
      <c r="P600" s="43"/>
      <c r="Q600" s="43"/>
      <c r="R600" s="43"/>
      <c r="V600" s="16" t="s">
        <v>211</v>
      </c>
      <c r="W600" s="16" t="s">
        <v>212</v>
      </c>
      <c r="Y600" t="s">
        <v>213</v>
      </c>
      <c r="AA600" s="16" t="s">
        <v>214</v>
      </c>
      <c r="AB600" s="16" t="s">
        <v>214</v>
      </c>
      <c r="AC600" s="16" t="s">
        <v>215</v>
      </c>
      <c r="AD600" s="16" t="s">
        <v>216</v>
      </c>
    </row>
    <row r="601" spans="1:32" ht="48" customHeight="1">
      <c r="A601" s="69" t="s">
        <v>0</v>
      </c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1" t="s">
        <v>1</v>
      </c>
      <c r="M601" s="71"/>
      <c r="N601" s="71"/>
      <c r="O601" s="71"/>
      <c r="P601" s="71"/>
      <c r="Q601" s="1" t="s">
        <v>2</v>
      </c>
      <c r="R601" s="2" t="s">
        <v>3</v>
      </c>
      <c r="S601" s="3"/>
      <c r="T601" s="3" t="s">
        <v>4</v>
      </c>
      <c r="U601" s="4" t="s">
        <v>5</v>
      </c>
      <c r="V601" s="4" t="s">
        <v>6</v>
      </c>
      <c r="W601" s="4" t="s">
        <v>7</v>
      </c>
      <c r="X601" s="4" t="s">
        <v>8</v>
      </c>
      <c r="Y601" s="4" t="s">
        <v>9</v>
      </c>
      <c r="Z601" s="4"/>
      <c r="AA601" s="4" t="s">
        <v>10</v>
      </c>
      <c r="AB601" s="4" t="s">
        <v>11</v>
      </c>
      <c r="AC601" s="4" t="s">
        <v>12</v>
      </c>
      <c r="AD601" s="4" t="s">
        <v>13</v>
      </c>
      <c r="AE601" s="4" t="s">
        <v>14</v>
      </c>
      <c r="AF601" s="4" t="s">
        <v>15</v>
      </c>
    </row>
    <row r="602" spans="1:32" s="8" customFormat="1" ht="18" customHeight="1">
      <c r="A602" s="5" t="s">
        <v>16</v>
      </c>
      <c r="B602" s="44">
        <f>B362</f>
        <v>0</v>
      </c>
      <c r="C602" s="45"/>
      <c r="D602" s="45"/>
      <c r="E602" s="6" t="str">
        <f>E362</f>
        <v>Version:1</v>
      </c>
      <c r="F602" s="72" t="s">
        <v>18</v>
      </c>
      <c r="G602" s="74" t="s">
        <v>19</v>
      </c>
      <c r="H602" s="74" t="s">
        <v>20</v>
      </c>
      <c r="I602" s="77" t="s">
        <v>21</v>
      </c>
      <c r="J602" s="62" t="s">
        <v>22</v>
      </c>
      <c r="K602" s="79" t="s">
        <v>23</v>
      </c>
      <c r="L602" s="62" t="s">
        <v>24</v>
      </c>
      <c r="M602" s="56" t="s">
        <v>25</v>
      </c>
      <c r="N602" s="59" t="s">
        <v>26</v>
      </c>
      <c r="O602" s="62" t="s">
        <v>27</v>
      </c>
      <c r="P602" s="65" t="s">
        <v>28</v>
      </c>
      <c r="Q602" s="66" t="s">
        <v>29</v>
      </c>
      <c r="R602" s="68" t="s">
        <v>30</v>
      </c>
      <c r="S602"/>
      <c r="T602" s="7" t="str">
        <f>IF(C635&gt;18,IF(C635=20,Nennweite20,IF(C635=60,U604,IF(C635=50,Nennweite50,IF(C635=25,Nennweite25,IF(C635=32,Nennweite32,IF(C635=40,Nennweite40,"&gt;")))))),IF(C635=8,Nennweite8,IF(C635=6,Nennweite6,IF(C635=10,Nennweite10,IF(C635=18,Nennweite18,IF(C635=16,Nennweite16,IF(C635=12,Nennweite12,"")))))))</f>
        <v/>
      </c>
      <c r="U602" t="s">
        <v>31</v>
      </c>
      <c r="V602" t="s">
        <v>32</v>
      </c>
      <c r="W602" t="s">
        <v>33</v>
      </c>
      <c r="X602" t="s">
        <v>34</v>
      </c>
      <c r="Y602" t="s">
        <v>35</v>
      </c>
      <c r="Z602"/>
      <c r="AA602" t="s">
        <v>36</v>
      </c>
      <c r="AB602" t="s">
        <v>37</v>
      </c>
      <c r="AC602" t="s">
        <v>38</v>
      </c>
      <c r="AD602" t="s">
        <v>39</v>
      </c>
      <c r="AE602" t="s">
        <v>40</v>
      </c>
      <c r="AF602" t="s">
        <v>41</v>
      </c>
    </row>
    <row r="603" spans="1:32" ht="18" customHeight="1">
      <c r="A603" s="5" t="s">
        <v>42</v>
      </c>
      <c r="B603" s="44">
        <f>B363</f>
        <v>0</v>
      </c>
      <c r="C603" s="45"/>
      <c r="D603" s="45"/>
      <c r="E603" s="46"/>
      <c r="F603" s="72"/>
      <c r="G603" s="75"/>
      <c r="H603" s="75"/>
      <c r="I603" s="77"/>
      <c r="J603" s="63"/>
      <c r="K603" s="80"/>
      <c r="L603" s="63"/>
      <c r="M603" s="57"/>
      <c r="N603" s="60"/>
      <c r="O603" s="63"/>
      <c r="P603" s="63"/>
      <c r="Q603" s="66"/>
      <c r="R603" s="66"/>
      <c r="U603" t="s">
        <v>43</v>
      </c>
      <c r="V603" t="s">
        <v>44</v>
      </c>
      <c r="W603" t="s">
        <v>45</v>
      </c>
      <c r="X603" t="s">
        <v>46</v>
      </c>
      <c r="Y603" t="s">
        <v>47</v>
      </c>
      <c r="AA603" t="s">
        <v>48</v>
      </c>
      <c r="AB603" t="s">
        <v>49</v>
      </c>
      <c r="AC603" t="s">
        <v>50</v>
      </c>
      <c r="AD603" t="s">
        <v>51</v>
      </c>
      <c r="AE603" t="s">
        <v>52</v>
      </c>
      <c r="AF603" t="s">
        <v>53</v>
      </c>
    </row>
    <row r="604" spans="1:32" ht="18" customHeight="1" thickBot="1">
      <c r="A604" s="9" t="s">
        <v>54</v>
      </c>
      <c r="B604" s="10" t="s">
        <v>55</v>
      </c>
      <c r="C604" s="10" t="s">
        <v>56</v>
      </c>
      <c r="D604" s="11" t="s">
        <v>57</v>
      </c>
      <c r="E604" s="9" t="s">
        <v>58</v>
      </c>
      <c r="F604" s="73"/>
      <c r="G604" s="76"/>
      <c r="H604" s="76"/>
      <c r="I604" s="78"/>
      <c r="J604" s="64"/>
      <c r="K604" s="81"/>
      <c r="L604" s="64"/>
      <c r="M604" s="58"/>
      <c r="N604" s="61"/>
      <c r="O604" s="64"/>
      <c r="P604" s="64"/>
      <c r="Q604" s="67"/>
      <c r="R604" s="67"/>
      <c r="U604" t="s">
        <v>59</v>
      </c>
      <c r="V604" t="s">
        <v>60</v>
      </c>
      <c r="W604" t="s">
        <v>61</v>
      </c>
      <c r="X604" t="s">
        <v>62</v>
      </c>
      <c r="Y604" t="s">
        <v>63</v>
      </c>
      <c r="AA604" t="s">
        <v>64</v>
      </c>
      <c r="AB604" t="s">
        <v>65</v>
      </c>
      <c r="AC604" t="s">
        <v>66</v>
      </c>
      <c r="AD604" t="s">
        <v>67</v>
      </c>
      <c r="AE604" t="s">
        <v>68</v>
      </c>
      <c r="AF604" t="s">
        <v>69</v>
      </c>
    </row>
    <row r="605" spans="1:32" ht="22.15" customHeight="1">
      <c r="A605" s="12">
        <v>401</v>
      </c>
      <c r="B605" s="13"/>
      <c r="C605" s="13"/>
      <c r="D605" s="13"/>
      <c r="E605" s="13"/>
      <c r="F605" s="14"/>
      <c r="G605" s="15"/>
      <c r="H605" s="15"/>
      <c r="I605" s="24"/>
      <c r="J605" s="17"/>
      <c r="K605" s="18"/>
      <c r="L605" s="19"/>
      <c r="M605" s="31"/>
      <c r="N605" s="21"/>
      <c r="O605" s="30"/>
      <c r="P605" s="30"/>
      <c r="Q605" s="23"/>
      <c r="R605" s="24"/>
      <c r="U605" t="s">
        <v>70</v>
      </c>
      <c r="V605" t="s">
        <v>71</v>
      </c>
      <c r="W605" t="s">
        <v>72</v>
      </c>
      <c r="X605" t="s">
        <v>73</v>
      </c>
      <c r="Y605" t="s">
        <v>74</v>
      </c>
      <c r="AA605" t="s">
        <v>75</v>
      </c>
      <c r="AB605" t="s">
        <v>76</v>
      </c>
      <c r="AC605" t="s">
        <v>77</v>
      </c>
      <c r="AD605" t="s">
        <v>78</v>
      </c>
      <c r="AE605" t="s">
        <v>79</v>
      </c>
    </row>
    <row r="606" spans="1:32" ht="22.15" customHeight="1">
      <c r="A606" s="12">
        <v>402</v>
      </c>
      <c r="B606" s="13"/>
      <c r="C606" s="13"/>
      <c r="D606" s="13"/>
      <c r="E606" s="13"/>
      <c r="F606" s="14"/>
      <c r="G606" s="15"/>
      <c r="H606" s="15"/>
      <c r="I606" s="24"/>
      <c r="J606" s="17"/>
      <c r="K606" s="18"/>
      <c r="L606" s="19"/>
      <c r="M606" s="31"/>
      <c r="N606" s="21"/>
      <c r="O606" s="30"/>
      <c r="P606" s="30"/>
      <c r="Q606" s="23"/>
      <c r="R606" s="24"/>
      <c r="U606" t="s">
        <v>80</v>
      </c>
      <c r="X606" t="s">
        <v>81</v>
      </c>
      <c r="Y606" t="s">
        <v>82</v>
      </c>
      <c r="AA606" t="s">
        <v>83</v>
      </c>
      <c r="AB606" t="s">
        <v>84</v>
      </c>
      <c r="AC606" t="s">
        <v>85</v>
      </c>
      <c r="AD606" t="s">
        <v>86</v>
      </c>
      <c r="AE606" t="s">
        <v>87</v>
      </c>
    </row>
    <row r="607" spans="1:32" ht="22.15" customHeight="1">
      <c r="A607" s="12">
        <v>403</v>
      </c>
      <c r="B607" s="13"/>
      <c r="C607" s="13"/>
      <c r="D607" s="13"/>
      <c r="E607" s="13"/>
      <c r="F607" s="14"/>
      <c r="G607" s="15"/>
      <c r="H607" s="15"/>
      <c r="I607" s="24"/>
      <c r="J607" s="17"/>
      <c r="K607" s="18"/>
      <c r="L607" s="19"/>
      <c r="M607" s="31"/>
      <c r="N607" s="21"/>
      <c r="O607" s="30"/>
      <c r="P607" s="30"/>
      <c r="Q607" s="23"/>
      <c r="R607" s="24"/>
      <c r="U607" t="s">
        <v>88</v>
      </c>
      <c r="V607" t="s">
        <v>89</v>
      </c>
      <c r="W607" t="s">
        <v>90</v>
      </c>
      <c r="X607" t="s">
        <v>91</v>
      </c>
      <c r="Y607" t="s">
        <v>92</v>
      </c>
      <c r="AA607" t="s">
        <v>93</v>
      </c>
      <c r="AB607" t="s">
        <v>94</v>
      </c>
      <c r="AC607" t="s">
        <v>95</v>
      </c>
      <c r="AD607" t="s">
        <v>96</v>
      </c>
      <c r="AE607" t="s">
        <v>97</v>
      </c>
    </row>
    <row r="608" spans="1:32" ht="22.15" customHeight="1">
      <c r="A608" s="12">
        <v>404</v>
      </c>
      <c r="B608" s="12"/>
      <c r="C608" s="13"/>
      <c r="D608" s="13"/>
      <c r="E608" s="13"/>
      <c r="F608" s="14"/>
      <c r="G608" s="15"/>
      <c r="H608" s="15"/>
      <c r="I608" s="24"/>
      <c r="J608" s="17"/>
      <c r="K608" s="18"/>
      <c r="L608" s="19"/>
      <c r="M608" s="31"/>
      <c r="N608" s="21"/>
      <c r="O608" s="30"/>
      <c r="P608" s="30"/>
      <c r="Q608" s="23"/>
      <c r="R608" s="24"/>
      <c r="V608" t="s">
        <v>98</v>
      </c>
      <c r="W608" t="s">
        <v>99</v>
      </c>
    </row>
    <row r="609" spans="1:31" ht="22.15" customHeight="1">
      <c r="A609" s="12">
        <v>405</v>
      </c>
      <c r="B609" s="12"/>
      <c r="C609" s="13"/>
      <c r="D609" s="13"/>
      <c r="E609" s="13"/>
      <c r="F609" s="14"/>
      <c r="G609" s="15"/>
      <c r="H609" s="15"/>
      <c r="I609" s="24"/>
      <c r="J609" s="17"/>
      <c r="K609" s="18"/>
      <c r="L609" s="19"/>
      <c r="M609" s="31"/>
      <c r="N609" s="21"/>
      <c r="O609" s="30"/>
      <c r="P609" s="30"/>
      <c r="Q609" s="23"/>
      <c r="R609" s="24"/>
      <c r="U609" t="s">
        <v>100</v>
      </c>
      <c r="V609" t="s">
        <v>101</v>
      </c>
      <c r="W609" t="s">
        <v>102</v>
      </c>
      <c r="X609" t="s">
        <v>103</v>
      </c>
      <c r="Y609" t="s">
        <v>103</v>
      </c>
      <c r="AA609" t="s">
        <v>104</v>
      </c>
      <c r="AB609" t="s">
        <v>105</v>
      </c>
      <c r="AC609" t="s">
        <v>106</v>
      </c>
      <c r="AD609" t="s">
        <v>40</v>
      </c>
      <c r="AE609" t="s">
        <v>107</v>
      </c>
    </row>
    <row r="610" spans="1:31" ht="22.15" customHeight="1">
      <c r="A610" s="12">
        <v>406</v>
      </c>
      <c r="B610" s="12"/>
      <c r="C610" s="13"/>
      <c r="D610" s="13"/>
      <c r="E610" s="13"/>
      <c r="F610" s="14"/>
      <c r="G610" s="15"/>
      <c r="H610" s="15"/>
      <c r="I610" s="24"/>
      <c r="J610" s="17"/>
      <c r="K610" s="18"/>
      <c r="L610" s="19"/>
      <c r="M610" s="31"/>
      <c r="N610" s="21"/>
      <c r="O610" s="30"/>
      <c r="P610" s="30"/>
      <c r="Q610" s="23"/>
      <c r="R610" s="24"/>
      <c r="X610" t="s">
        <v>108</v>
      </c>
      <c r="Y610" t="s">
        <v>108</v>
      </c>
      <c r="AA610" t="s">
        <v>109</v>
      </c>
      <c r="AB610" t="s">
        <v>110</v>
      </c>
      <c r="AC610" t="s">
        <v>111</v>
      </c>
      <c r="AD610" t="s">
        <v>52</v>
      </c>
    </row>
    <row r="611" spans="1:31" ht="22.15" customHeight="1">
      <c r="A611" s="12">
        <v>407</v>
      </c>
      <c r="B611" s="12"/>
      <c r="C611" s="13"/>
      <c r="D611" s="13"/>
      <c r="E611" s="13"/>
      <c r="F611" s="14"/>
      <c r="G611" s="15"/>
      <c r="H611" s="15"/>
      <c r="I611" s="24"/>
      <c r="J611" s="17"/>
      <c r="K611" s="18"/>
      <c r="L611" s="19"/>
      <c r="M611" s="31"/>
      <c r="N611" s="21"/>
      <c r="O611" s="30"/>
      <c r="P611" s="30"/>
      <c r="Q611" s="23"/>
      <c r="R611" s="24"/>
      <c r="U611" t="s">
        <v>112</v>
      </c>
      <c r="V611" t="s">
        <v>113</v>
      </c>
      <c r="W611" t="s">
        <v>114</v>
      </c>
      <c r="X611" t="s">
        <v>115</v>
      </c>
      <c r="Y611" t="s">
        <v>116</v>
      </c>
      <c r="AA611" t="s">
        <v>117</v>
      </c>
      <c r="AB611" t="s">
        <v>118</v>
      </c>
      <c r="AC611" t="s">
        <v>119</v>
      </c>
      <c r="AD611" t="s">
        <v>68</v>
      </c>
      <c r="AE611" t="s">
        <v>120</v>
      </c>
    </row>
    <row r="612" spans="1:31" ht="22.15" customHeight="1">
      <c r="A612" s="12">
        <v>408</v>
      </c>
      <c r="B612" s="12"/>
      <c r="C612" s="13"/>
      <c r="D612" s="13"/>
      <c r="E612" s="13"/>
      <c r="F612" s="14"/>
      <c r="G612" s="15"/>
      <c r="H612" s="15"/>
      <c r="I612" s="24"/>
      <c r="J612" s="17"/>
      <c r="K612" s="18"/>
      <c r="L612" s="19"/>
      <c r="M612" s="31"/>
      <c r="N612" s="21"/>
      <c r="O612" s="30"/>
      <c r="P612" s="30"/>
      <c r="Q612" s="23"/>
      <c r="R612" s="24"/>
      <c r="V612" t="s">
        <v>121</v>
      </c>
      <c r="W612" t="s">
        <v>122</v>
      </c>
      <c r="AE612" t="s">
        <v>123</v>
      </c>
    </row>
    <row r="613" spans="1:31" ht="22.15" customHeight="1">
      <c r="A613" s="12">
        <v>409</v>
      </c>
      <c r="B613" s="12"/>
      <c r="C613" s="13"/>
      <c r="D613" s="13"/>
      <c r="E613" s="13"/>
      <c r="F613" s="14"/>
      <c r="G613" s="15"/>
      <c r="H613" s="15"/>
      <c r="I613" s="24"/>
      <c r="J613" s="17"/>
      <c r="K613" s="18"/>
      <c r="L613" s="19"/>
      <c r="M613" s="31"/>
      <c r="N613" s="21"/>
      <c r="O613" s="30"/>
      <c r="P613" s="30"/>
      <c r="Q613" s="23"/>
      <c r="R613" s="24"/>
      <c r="U613" t="s">
        <v>124</v>
      </c>
      <c r="V613" t="s">
        <v>125</v>
      </c>
      <c r="W613" t="s">
        <v>126</v>
      </c>
      <c r="X613" t="s">
        <v>127</v>
      </c>
      <c r="Y613" t="s">
        <v>128</v>
      </c>
      <c r="AA613" t="s">
        <v>128</v>
      </c>
      <c r="AB613" t="s">
        <v>129</v>
      </c>
      <c r="AC613" t="s">
        <v>130</v>
      </c>
      <c r="AD613" t="s">
        <v>131</v>
      </c>
      <c r="AE613" t="s">
        <v>132</v>
      </c>
    </row>
    <row r="614" spans="1:31" ht="22.15" customHeight="1">
      <c r="A614" s="12">
        <v>410</v>
      </c>
      <c r="B614" s="12"/>
      <c r="C614" s="13"/>
      <c r="D614" s="13"/>
      <c r="E614" s="13"/>
      <c r="F614" s="14"/>
      <c r="G614" s="15"/>
      <c r="H614" s="15"/>
      <c r="I614" s="24"/>
      <c r="J614" s="17"/>
      <c r="K614" s="18"/>
      <c r="L614" s="19"/>
      <c r="M614" s="31"/>
      <c r="N614" s="21"/>
      <c r="O614" s="30"/>
      <c r="P614" s="30"/>
      <c r="Q614" s="23"/>
      <c r="R614" s="24"/>
      <c r="U614" t="s">
        <v>134</v>
      </c>
      <c r="X614" t="s">
        <v>135</v>
      </c>
      <c r="Y614" t="s">
        <v>136</v>
      </c>
      <c r="AA614" t="s">
        <v>136</v>
      </c>
      <c r="AB614" t="s">
        <v>137</v>
      </c>
      <c r="AC614" t="s">
        <v>138</v>
      </c>
      <c r="AD614" t="s">
        <v>139</v>
      </c>
    </row>
    <row r="615" spans="1:31" ht="22.15" customHeight="1">
      <c r="A615" s="12">
        <v>411</v>
      </c>
      <c r="B615" s="12"/>
      <c r="C615" s="13"/>
      <c r="D615" s="13"/>
      <c r="E615" s="13"/>
      <c r="F615" s="14"/>
      <c r="G615" s="15"/>
      <c r="H615" s="15"/>
      <c r="I615" s="24"/>
      <c r="J615" s="17"/>
      <c r="K615" s="18"/>
      <c r="L615" s="19"/>
      <c r="M615" s="31"/>
      <c r="N615" s="21"/>
      <c r="O615" s="30"/>
      <c r="P615" s="30"/>
      <c r="Q615" s="23"/>
      <c r="R615" s="24"/>
      <c r="U615" t="s">
        <v>140</v>
      </c>
      <c r="V615" t="s">
        <v>141</v>
      </c>
      <c r="W615" t="s">
        <v>142</v>
      </c>
      <c r="X615" t="s">
        <v>143</v>
      </c>
      <c r="Y615" t="s">
        <v>144</v>
      </c>
      <c r="AA615" t="s">
        <v>144</v>
      </c>
      <c r="AB615" t="s">
        <v>145</v>
      </c>
      <c r="AC615" t="s">
        <v>146</v>
      </c>
      <c r="AD615" t="s">
        <v>147</v>
      </c>
    </row>
    <row r="616" spans="1:31" ht="22.15" customHeight="1">
      <c r="A616" s="12">
        <v>412</v>
      </c>
      <c r="B616" s="12"/>
      <c r="C616" s="13"/>
      <c r="D616" s="13"/>
      <c r="E616" s="13"/>
      <c r="F616" s="14"/>
      <c r="G616" s="15"/>
      <c r="H616" s="15"/>
      <c r="I616" s="24"/>
      <c r="J616" s="17"/>
      <c r="K616" s="18"/>
      <c r="L616" s="19"/>
      <c r="M616" s="31"/>
      <c r="N616" s="21"/>
      <c r="O616" s="30"/>
      <c r="P616" s="30"/>
      <c r="Q616" s="23"/>
      <c r="R616" s="24"/>
      <c r="V616" t="s">
        <v>148</v>
      </c>
    </row>
    <row r="617" spans="1:31" ht="22.15" customHeight="1">
      <c r="A617" s="12">
        <v>413</v>
      </c>
      <c r="B617" s="12"/>
      <c r="C617" s="13"/>
      <c r="D617" s="13"/>
      <c r="E617" s="13"/>
      <c r="F617" s="14"/>
      <c r="G617" s="15"/>
      <c r="H617" s="15"/>
      <c r="I617" s="24"/>
      <c r="J617" s="17"/>
      <c r="K617" s="18"/>
      <c r="L617" s="19"/>
      <c r="M617" s="31"/>
      <c r="N617" s="21"/>
      <c r="O617" s="30"/>
      <c r="P617" s="30"/>
      <c r="Q617" s="23"/>
      <c r="R617" s="24"/>
      <c r="U617" t="s">
        <v>149</v>
      </c>
      <c r="W617" t="s">
        <v>150</v>
      </c>
      <c r="X617" t="s">
        <v>151</v>
      </c>
      <c r="Y617" t="s">
        <v>127</v>
      </c>
      <c r="AA617" t="s">
        <v>129</v>
      </c>
      <c r="AB617" t="s">
        <v>130</v>
      </c>
      <c r="AC617" t="s">
        <v>78</v>
      </c>
      <c r="AD617" t="s">
        <v>152</v>
      </c>
    </row>
    <row r="618" spans="1:31" ht="22.15" customHeight="1">
      <c r="A618" s="12">
        <v>414</v>
      </c>
      <c r="B618" s="12"/>
      <c r="C618" s="13"/>
      <c r="D618" s="13"/>
      <c r="E618" s="13"/>
      <c r="F618" s="14"/>
      <c r="G618" s="15"/>
      <c r="H618" s="15"/>
      <c r="I618" s="24"/>
      <c r="J618" s="17"/>
      <c r="K618" s="18"/>
      <c r="L618" s="19"/>
      <c r="M618" s="31"/>
      <c r="N618" s="21"/>
      <c r="O618" s="30"/>
      <c r="P618" s="30"/>
      <c r="Q618" s="23"/>
      <c r="R618" s="24"/>
      <c r="U618" t="s">
        <v>153</v>
      </c>
      <c r="V618" t="s">
        <v>154</v>
      </c>
      <c r="W618" t="s">
        <v>155</v>
      </c>
      <c r="X618" t="s">
        <v>156</v>
      </c>
      <c r="Y618" t="s">
        <v>135</v>
      </c>
      <c r="AA618" t="s">
        <v>137</v>
      </c>
      <c r="AB618" t="s">
        <v>138</v>
      </c>
      <c r="AC618" t="s">
        <v>86</v>
      </c>
      <c r="AD618" t="s">
        <v>157</v>
      </c>
    </row>
    <row r="619" spans="1:31" ht="22.15" customHeight="1">
      <c r="A619" s="12">
        <v>415</v>
      </c>
      <c r="B619" s="12"/>
      <c r="C619" s="13"/>
      <c r="D619" s="13"/>
      <c r="E619" s="13"/>
      <c r="F619" s="14"/>
      <c r="G619" s="15"/>
      <c r="H619" s="15"/>
      <c r="I619" s="24"/>
      <c r="J619" s="17"/>
      <c r="K619" s="18"/>
      <c r="L619" s="19"/>
      <c r="M619" s="31"/>
      <c r="N619" s="21"/>
      <c r="O619" s="30"/>
      <c r="P619" s="30"/>
      <c r="Q619" s="23"/>
      <c r="R619" s="24"/>
      <c r="U619" t="s">
        <v>158</v>
      </c>
      <c r="V619" t="s">
        <v>159</v>
      </c>
      <c r="X619" t="s">
        <v>160</v>
      </c>
      <c r="Y619" t="s">
        <v>143</v>
      </c>
      <c r="AA619" t="s">
        <v>145</v>
      </c>
      <c r="AB619" t="s">
        <v>146</v>
      </c>
      <c r="AC619" t="s">
        <v>96</v>
      </c>
      <c r="AD619" t="s">
        <v>161</v>
      </c>
    </row>
    <row r="620" spans="1:31" ht="22.15" customHeight="1">
      <c r="A620" s="12">
        <v>416</v>
      </c>
      <c r="B620" s="12"/>
      <c r="C620" s="13"/>
      <c r="D620" s="13"/>
      <c r="E620" s="13"/>
      <c r="F620" s="14"/>
      <c r="G620" s="15"/>
      <c r="H620" s="15"/>
      <c r="I620" s="24"/>
      <c r="J620" s="17"/>
      <c r="K620" s="18"/>
      <c r="L620" s="19"/>
      <c r="M620" s="31"/>
      <c r="N620" s="21"/>
      <c r="O620" s="30"/>
      <c r="P620" s="30"/>
      <c r="Q620" s="23"/>
      <c r="R620" s="24"/>
      <c r="V620" t="s">
        <v>162</v>
      </c>
      <c r="W620" t="s">
        <v>163</v>
      </c>
    </row>
    <row r="621" spans="1:31" ht="22.15" customHeight="1">
      <c r="A621" s="12">
        <v>417</v>
      </c>
      <c r="B621" s="12"/>
      <c r="C621" s="13"/>
      <c r="D621" s="13"/>
      <c r="E621" s="13"/>
      <c r="F621" s="14"/>
      <c r="G621" s="15"/>
      <c r="H621" s="15"/>
      <c r="I621" s="24"/>
      <c r="J621" s="17"/>
      <c r="K621" s="18"/>
      <c r="L621" s="19"/>
      <c r="M621" s="31"/>
      <c r="N621" s="21"/>
      <c r="O621" s="30"/>
      <c r="P621" s="30"/>
      <c r="Q621" s="23"/>
      <c r="R621" s="24"/>
      <c r="U621" t="s">
        <v>164</v>
      </c>
      <c r="W621" t="s">
        <v>165</v>
      </c>
      <c r="X621" t="s">
        <v>166</v>
      </c>
      <c r="Y621" t="s">
        <v>151</v>
      </c>
      <c r="AA621" t="s">
        <v>151</v>
      </c>
      <c r="AB621" t="s">
        <v>167</v>
      </c>
      <c r="AC621" t="s">
        <v>168</v>
      </c>
      <c r="AD621" t="s">
        <v>169</v>
      </c>
    </row>
    <row r="622" spans="1:31" ht="22.15" customHeight="1">
      <c r="A622" s="12">
        <v>418</v>
      </c>
      <c r="B622" s="12"/>
      <c r="C622" s="13"/>
      <c r="D622" s="13"/>
      <c r="E622" s="13"/>
      <c r="F622" s="14"/>
      <c r="G622" s="15"/>
      <c r="H622" s="15"/>
      <c r="I622" s="24"/>
      <c r="J622" s="17"/>
      <c r="K622" s="18"/>
      <c r="L622" s="19"/>
      <c r="M622" s="31"/>
      <c r="N622" s="21"/>
      <c r="O622" s="30"/>
      <c r="P622" s="30"/>
      <c r="Q622" s="23"/>
      <c r="R622" s="24"/>
      <c r="U622" t="s">
        <v>170</v>
      </c>
      <c r="V622" t="s">
        <v>171</v>
      </c>
      <c r="W622" t="s">
        <v>172</v>
      </c>
      <c r="Y622" t="s">
        <v>156</v>
      </c>
      <c r="AA622" t="s">
        <v>156</v>
      </c>
      <c r="AB622" t="s">
        <v>173</v>
      </c>
      <c r="AC622" t="s">
        <v>174</v>
      </c>
      <c r="AD622" t="s">
        <v>175</v>
      </c>
    </row>
    <row r="623" spans="1:31" ht="22.15" customHeight="1">
      <c r="A623" s="12">
        <v>419</v>
      </c>
      <c r="B623" s="12"/>
      <c r="C623" s="13"/>
      <c r="D623" s="13"/>
      <c r="E623" s="13"/>
      <c r="F623" s="14"/>
      <c r="G623" s="15"/>
      <c r="H623" s="15"/>
      <c r="I623" s="24"/>
      <c r="J623" s="17"/>
      <c r="K623" s="18"/>
      <c r="L623" s="19"/>
      <c r="M623" s="31"/>
      <c r="N623" s="21"/>
      <c r="O623" s="30"/>
      <c r="P623" s="30"/>
      <c r="Q623" s="23"/>
      <c r="R623" s="24"/>
      <c r="U623" t="s">
        <v>176</v>
      </c>
      <c r="V623" t="s">
        <v>177</v>
      </c>
      <c r="X623" t="s">
        <v>178</v>
      </c>
      <c r="Y623" t="s">
        <v>160</v>
      </c>
      <c r="AA623" t="s">
        <v>160</v>
      </c>
      <c r="AB623" t="s">
        <v>179</v>
      </c>
      <c r="AC623" t="s">
        <v>180</v>
      </c>
      <c r="AD623" t="s">
        <v>181</v>
      </c>
    </row>
    <row r="624" spans="1:31" ht="22.15" customHeight="1">
      <c r="A624" s="12">
        <v>420</v>
      </c>
      <c r="B624" s="12"/>
      <c r="C624" s="13"/>
      <c r="D624" s="13"/>
      <c r="E624" s="13"/>
      <c r="F624" s="14"/>
      <c r="G624" s="15"/>
      <c r="H624" s="15"/>
      <c r="I624" s="24"/>
      <c r="J624" s="17"/>
      <c r="K624" s="18"/>
      <c r="L624" s="19"/>
      <c r="M624" s="31"/>
      <c r="N624" s="21"/>
      <c r="O624" s="30"/>
      <c r="P624" s="30"/>
      <c r="Q624" s="23"/>
      <c r="R624" s="24"/>
      <c r="V624" t="s">
        <v>184</v>
      </c>
      <c r="W624" t="s">
        <v>185</v>
      </c>
      <c r="X624" t="s">
        <v>186</v>
      </c>
    </row>
    <row r="625" spans="1:32" ht="18" customHeight="1">
      <c r="A625" s="47" t="s">
        <v>302</v>
      </c>
      <c r="B625" s="48"/>
      <c r="C625" s="48"/>
      <c r="D625" s="48"/>
      <c r="E625" s="49"/>
      <c r="F625" s="50" t="s">
        <v>183</v>
      </c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2"/>
      <c r="U625" t="s">
        <v>320</v>
      </c>
      <c r="W625" t="s">
        <v>321</v>
      </c>
      <c r="X625" t="s">
        <v>322</v>
      </c>
      <c r="Y625" t="s">
        <v>323</v>
      </c>
      <c r="AA625" s="16" t="s">
        <v>167</v>
      </c>
      <c r="AB625" s="16" t="s">
        <v>168</v>
      </c>
      <c r="AC625" s="16" t="s">
        <v>131</v>
      </c>
      <c r="AD625" s="16" t="s">
        <v>253</v>
      </c>
    </row>
    <row r="626" spans="1:32" ht="18" customHeight="1">
      <c r="A626" s="12">
        <v>1</v>
      </c>
      <c r="B626" s="47" t="s">
        <v>187</v>
      </c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9"/>
      <c r="AA626" s="27" t="s">
        <v>188</v>
      </c>
      <c r="AB626" s="27" t="s">
        <v>189</v>
      </c>
      <c r="AC626" s="27" t="s">
        <v>190</v>
      </c>
    </row>
    <row r="627" spans="1:32" ht="18" customHeight="1">
      <c r="A627" s="23">
        <v>2</v>
      </c>
      <c r="B627" s="53" t="s">
        <v>191</v>
      </c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5"/>
      <c r="U627" t="s">
        <v>192</v>
      </c>
      <c r="V627" s="16" t="s">
        <v>193</v>
      </c>
      <c r="W627" t="s">
        <v>194</v>
      </c>
      <c r="Y627" t="s">
        <v>195</v>
      </c>
      <c r="AA627" s="16" t="s">
        <v>173</v>
      </c>
      <c r="AB627" s="16" t="s">
        <v>174</v>
      </c>
      <c r="AC627" s="16" t="s">
        <v>139</v>
      </c>
      <c r="AD627" s="16" t="s">
        <v>196</v>
      </c>
    </row>
    <row r="628" spans="1:32" ht="18" customHeight="1">
      <c r="A628" s="23">
        <v>3</v>
      </c>
      <c r="B628" s="47" t="s">
        <v>197</v>
      </c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9"/>
      <c r="V628" s="16" t="s">
        <v>198</v>
      </c>
      <c r="X628" s="16" t="s">
        <v>199</v>
      </c>
      <c r="Y628" t="s">
        <v>200</v>
      </c>
      <c r="AA628" s="16" t="s">
        <v>179</v>
      </c>
      <c r="AB628" s="16" t="s">
        <v>180</v>
      </c>
      <c r="AC628" s="16" t="s">
        <v>147</v>
      </c>
      <c r="AD628" s="16" t="s">
        <v>201</v>
      </c>
    </row>
    <row r="629" spans="1:32" ht="18" customHeight="1">
      <c r="A629" s="37" t="s">
        <v>202</v>
      </c>
      <c r="B629" s="38"/>
      <c r="C629" s="39">
        <f>C389</f>
        <v>0</v>
      </c>
      <c r="D629" s="39"/>
      <c r="E629" s="37" t="s">
        <v>203</v>
      </c>
      <c r="F629" s="40"/>
      <c r="G629" s="41">
        <f>G389</f>
        <v>0</v>
      </c>
      <c r="H629" s="42"/>
      <c r="I629" s="42"/>
      <c r="J629" s="42"/>
      <c r="K629" s="28" t="s">
        <v>204</v>
      </c>
      <c r="L629" s="43" t="s">
        <v>205</v>
      </c>
      <c r="M629" s="43"/>
      <c r="N629" s="43"/>
      <c r="O629" s="43"/>
      <c r="P629" s="43"/>
      <c r="Q629" s="43"/>
      <c r="R629" s="43"/>
      <c r="U629" t="s">
        <v>206</v>
      </c>
      <c r="W629" s="16" t="s">
        <v>207</v>
      </c>
      <c r="X629" s="16" t="s">
        <v>208</v>
      </c>
    </row>
    <row r="630" spans="1:32" ht="18" customHeight="1">
      <c r="A630" s="37" t="s">
        <v>209</v>
      </c>
      <c r="B630" s="38"/>
      <c r="C630" s="39">
        <f>C390</f>
        <v>0</v>
      </c>
      <c r="D630" s="39"/>
      <c r="E630" s="37" t="s">
        <v>210</v>
      </c>
      <c r="F630" s="40"/>
      <c r="G630" s="41">
        <f>G390</f>
        <v>0</v>
      </c>
      <c r="H630" s="42"/>
      <c r="I630" s="42"/>
      <c r="J630" s="42"/>
      <c r="K630" s="28" t="s">
        <v>204</v>
      </c>
      <c r="L630" s="43" t="s">
        <v>205</v>
      </c>
      <c r="M630" s="43"/>
      <c r="N630" s="43"/>
      <c r="O630" s="43"/>
      <c r="P630" s="43"/>
      <c r="Q630" s="43"/>
      <c r="R630" s="43"/>
      <c r="V630" s="16" t="s">
        <v>211</v>
      </c>
      <c r="W630" s="16" t="s">
        <v>212</v>
      </c>
      <c r="Y630" t="s">
        <v>213</v>
      </c>
      <c r="AA630" s="16" t="s">
        <v>214</v>
      </c>
      <c r="AB630" s="16" t="s">
        <v>214</v>
      </c>
      <c r="AC630" s="16" t="s">
        <v>215</v>
      </c>
      <c r="AD630" s="16" t="s">
        <v>216</v>
      </c>
    </row>
    <row r="631" spans="1:32" ht="48" customHeight="1">
      <c r="A631" s="69" t="s">
        <v>0</v>
      </c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1" t="s">
        <v>1</v>
      </c>
      <c r="M631" s="71"/>
      <c r="N631" s="71"/>
      <c r="O631" s="71"/>
      <c r="P631" s="71"/>
      <c r="Q631" s="1" t="s">
        <v>2</v>
      </c>
      <c r="R631" s="2" t="s">
        <v>3</v>
      </c>
      <c r="S631" s="3"/>
      <c r="T631" s="3" t="s">
        <v>4</v>
      </c>
      <c r="U631" s="4" t="s">
        <v>5</v>
      </c>
      <c r="V631" s="4" t="s">
        <v>6</v>
      </c>
      <c r="W631" s="4" t="s">
        <v>7</v>
      </c>
      <c r="X631" s="4" t="s">
        <v>8</v>
      </c>
      <c r="Y631" s="4" t="s">
        <v>9</v>
      </c>
      <c r="Z631" s="4"/>
      <c r="AA631" s="4" t="s">
        <v>10</v>
      </c>
      <c r="AB631" s="4" t="s">
        <v>11</v>
      </c>
      <c r="AC631" s="4" t="s">
        <v>12</v>
      </c>
      <c r="AD631" s="4" t="s">
        <v>13</v>
      </c>
      <c r="AE631" s="4" t="s">
        <v>14</v>
      </c>
      <c r="AF631" s="4" t="s">
        <v>15</v>
      </c>
    </row>
    <row r="632" spans="1:32" s="8" customFormat="1" ht="18" customHeight="1">
      <c r="A632" s="5" t="s">
        <v>16</v>
      </c>
      <c r="B632" s="44">
        <f>B362</f>
        <v>0</v>
      </c>
      <c r="C632" s="45"/>
      <c r="D632" s="45"/>
      <c r="E632" s="6" t="str">
        <f>E362</f>
        <v>Version:1</v>
      </c>
      <c r="F632" s="72" t="s">
        <v>18</v>
      </c>
      <c r="G632" s="74" t="s">
        <v>19</v>
      </c>
      <c r="H632" s="74" t="s">
        <v>20</v>
      </c>
      <c r="I632" s="77" t="s">
        <v>21</v>
      </c>
      <c r="J632" s="62" t="s">
        <v>22</v>
      </c>
      <c r="K632" s="79" t="s">
        <v>23</v>
      </c>
      <c r="L632" s="62" t="s">
        <v>24</v>
      </c>
      <c r="M632" s="56" t="s">
        <v>25</v>
      </c>
      <c r="N632" s="59" t="s">
        <v>26</v>
      </c>
      <c r="O632" s="62" t="s">
        <v>27</v>
      </c>
      <c r="P632" s="65" t="s">
        <v>28</v>
      </c>
      <c r="Q632" s="66" t="s">
        <v>29</v>
      </c>
      <c r="R632" s="68" t="s">
        <v>30</v>
      </c>
      <c r="S632"/>
      <c r="T632" s="7" t="str">
        <f>IF(C665&gt;18,IF(C665=20,Nennweite20,IF(C665=60,U634,IF(C665=50,Nennweite50,IF(C665=25,Nennweite25,IF(C665=32,Nennweite32,IF(C665=40,Nennweite40,"&gt;")))))),IF(C665=8,Nennweite8,IF(C665=6,Nennweite6,IF(C665=10,Nennweite10,IF(C665=18,Nennweite18,IF(C665=16,Nennweite16,IF(C665=12,Nennweite12,"")))))))</f>
        <v/>
      </c>
      <c r="U632" t="s">
        <v>31</v>
      </c>
      <c r="V632" t="s">
        <v>32</v>
      </c>
      <c r="W632" t="s">
        <v>33</v>
      </c>
      <c r="X632" t="s">
        <v>34</v>
      </c>
      <c r="Y632" t="s">
        <v>35</v>
      </c>
      <c r="Z632"/>
      <c r="AA632" t="s">
        <v>36</v>
      </c>
      <c r="AB632" t="s">
        <v>37</v>
      </c>
      <c r="AC632" t="s">
        <v>38</v>
      </c>
      <c r="AD632" t="s">
        <v>39</v>
      </c>
      <c r="AE632" t="s">
        <v>40</v>
      </c>
      <c r="AF632" t="s">
        <v>41</v>
      </c>
    </row>
    <row r="633" spans="1:32" ht="18" customHeight="1">
      <c r="A633" s="5" t="s">
        <v>42</v>
      </c>
      <c r="B633" s="44">
        <f>B363</f>
        <v>0</v>
      </c>
      <c r="C633" s="45"/>
      <c r="D633" s="45"/>
      <c r="E633" s="46"/>
      <c r="F633" s="72"/>
      <c r="G633" s="75"/>
      <c r="H633" s="75"/>
      <c r="I633" s="77"/>
      <c r="J633" s="63"/>
      <c r="K633" s="80"/>
      <c r="L633" s="63"/>
      <c r="M633" s="57"/>
      <c r="N633" s="60"/>
      <c r="O633" s="63"/>
      <c r="P633" s="63"/>
      <c r="Q633" s="66"/>
      <c r="R633" s="66"/>
      <c r="U633" t="s">
        <v>43</v>
      </c>
      <c r="V633" t="s">
        <v>44</v>
      </c>
      <c r="W633" t="s">
        <v>45</v>
      </c>
      <c r="X633" t="s">
        <v>46</v>
      </c>
      <c r="Y633" t="s">
        <v>47</v>
      </c>
      <c r="AA633" t="s">
        <v>48</v>
      </c>
      <c r="AB633" t="s">
        <v>49</v>
      </c>
      <c r="AC633" t="s">
        <v>50</v>
      </c>
      <c r="AD633" t="s">
        <v>51</v>
      </c>
      <c r="AE633" t="s">
        <v>52</v>
      </c>
      <c r="AF633" t="s">
        <v>53</v>
      </c>
    </row>
    <row r="634" spans="1:32" ht="18" customHeight="1" thickBot="1">
      <c r="A634" s="9" t="s">
        <v>54</v>
      </c>
      <c r="B634" s="10" t="s">
        <v>55</v>
      </c>
      <c r="C634" s="10" t="s">
        <v>56</v>
      </c>
      <c r="D634" s="11" t="s">
        <v>57</v>
      </c>
      <c r="E634" s="9" t="s">
        <v>58</v>
      </c>
      <c r="F634" s="73"/>
      <c r="G634" s="76"/>
      <c r="H634" s="76"/>
      <c r="I634" s="78"/>
      <c r="J634" s="64"/>
      <c r="K634" s="81"/>
      <c r="L634" s="64"/>
      <c r="M634" s="58"/>
      <c r="N634" s="61"/>
      <c r="O634" s="64"/>
      <c r="P634" s="64"/>
      <c r="Q634" s="67"/>
      <c r="R634" s="67"/>
      <c r="U634" t="s">
        <v>59</v>
      </c>
      <c r="V634" t="s">
        <v>60</v>
      </c>
      <c r="W634" t="s">
        <v>61</v>
      </c>
      <c r="X634" t="s">
        <v>62</v>
      </c>
      <c r="Y634" t="s">
        <v>63</v>
      </c>
      <c r="AA634" t="s">
        <v>64</v>
      </c>
      <c r="AB634" t="s">
        <v>65</v>
      </c>
      <c r="AC634" t="s">
        <v>66</v>
      </c>
      <c r="AD634" t="s">
        <v>67</v>
      </c>
      <c r="AE634" t="s">
        <v>68</v>
      </c>
      <c r="AF634" t="s">
        <v>69</v>
      </c>
    </row>
    <row r="635" spans="1:32" ht="22.15" customHeight="1">
      <c r="A635" s="12">
        <v>421</v>
      </c>
      <c r="B635" s="13"/>
      <c r="C635" s="13"/>
      <c r="D635" s="13"/>
      <c r="E635" s="13"/>
      <c r="F635" s="14"/>
      <c r="G635" s="15"/>
      <c r="H635" s="15"/>
      <c r="I635" s="24"/>
      <c r="J635" s="17"/>
      <c r="K635" s="18"/>
      <c r="L635" s="19"/>
      <c r="M635" s="31"/>
      <c r="N635" s="21"/>
      <c r="O635" s="30"/>
      <c r="P635" s="30"/>
      <c r="Q635" s="23"/>
      <c r="R635" s="24"/>
      <c r="U635" t="s">
        <v>70</v>
      </c>
      <c r="V635" t="s">
        <v>71</v>
      </c>
      <c r="W635" t="s">
        <v>72</v>
      </c>
      <c r="X635" t="s">
        <v>73</v>
      </c>
      <c r="Y635" t="s">
        <v>74</v>
      </c>
      <c r="AA635" t="s">
        <v>75</v>
      </c>
      <c r="AB635" t="s">
        <v>76</v>
      </c>
      <c r="AC635" t="s">
        <v>77</v>
      </c>
      <c r="AD635" t="s">
        <v>78</v>
      </c>
      <c r="AE635" t="s">
        <v>79</v>
      </c>
    </row>
    <row r="636" spans="1:32" ht="22.15" customHeight="1">
      <c r="A636" s="12">
        <v>422</v>
      </c>
      <c r="B636" s="13"/>
      <c r="C636" s="13"/>
      <c r="D636" s="13"/>
      <c r="E636" s="13"/>
      <c r="F636" s="14"/>
      <c r="G636" s="15"/>
      <c r="H636" s="15"/>
      <c r="I636" s="24"/>
      <c r="J636" s="17"/>
      <c r="K636" s="18"/>
      <c r="L636" s="19"/>
      <c r="M636" s="31"/>
      <c r="N636" s="21"/>
      <c r="O636" s="30"/>
      <c r="P636" s="30"/>
      <c r="Q636" s="23"/>
      <c r="R636" s="24"/>
      <c r="U636" t="s">
        <v>80</v>
      </c>
      <c r="X636" t="s">
        <v>81</v>
      </c>
      <c r="Y636" t="s">
        <v>82</v>
      </c>
      <c r="AA636" t="s">
        <v>83</v>
      </c>
      <c r="AB636" t="s">
        <v>84</v>
      </c>
      <c r="AC636" t="s">
        <v>85</v>
      </c>
      <c r="AD636" t="s">
        <v>86</v>
      </c>
      <c r="AE636" t="s">
        <v>87</v>
      </c>
    </row>
    <row r="637" spans="1:32" ht="22.15" customHeight="1">
      <c r="A637" s="12">
        <v>423</v>
      </c>
      <c r="B637" s="13"/>
      <c r="C637" s="13"/>
      <c r="D637" s="13"/>
      <c r="E637" s="13"/>
      <c r="F637" s="14"/>
      <c r="G637" s="15"/>
      <c r="H637" s="15"/>
      <c r="I637" s="24"/>
      <c r="J637" s="17"/>
      <c r="K637" s="18"/>
      <c r="L637" s="19"/>
      <c r="M637" s="31"/>
      <c r="N637" s="21"/>
      <c r="O637" s="30"/>
      <c r="P637" s="30"/>
      <c r="Q637" s="23"/>
      <c r="R637" s="24"/>
      <c r="U637" t="s">
        <v>88</v>
      </c>
      <c r="V637" t="s">
        <v>89</v>
      </c>
      <c r="W637" t="s">
        <v>90</v>
      </c>
      <c r="X637" t="s">
        <v>91</v>
      </c>
      <c r="Y637" t="s">
        <v>92</v>
      </c>
      <c r="AA637" t="s">
        <v>93</v>
      </c>
      <c r="AB637" t="s">
        <v>94</v>
      </c>
      <c r="AC637" t="s">
        <v>95</v>
      </c>
      <c r="AD637" t="s">
        <v>96</v>
      </c>
      <c r="AE637" t="s">
        <v>97</v>
      </c>
    </row>
    <row r="638" spans="1:32" ht="22.15" customHeight="1">
      <c r="A638" s="12">
        <v>424</v>
      </c>
      <c r="B638" s="12"/>
      <c r="C638" s="13"/>
      <c r="D638" s="13"/>
      <c r="E638" s="13"/>
      <c r="F638" s="14"/>
      <c r="G638" s="15"/>
      <c r="H638" s="15"/>
      <c r="I638" s="24"/>
      <c r="J638" s="17"/>
      <c r="K638" s="18"/>
      <c r="L638" s="19"/>
      <c r="M638" s="31"/>
      <c r="N638" s="21"/>
      <c r="O638" s="30"/>
      <c r="P638" s="30"/>
      <c r="Q638" s="23"/>
      <c r="R638" s="24"/>
      <c r="V638" t="s">
        <v>98</v>
      </c>
      <c r="W638" t="s">
        <v>99</v>
      </c>
    </row>
    <row r="639" spans="1:32" ht="22.15" customHeight="1">
      <c r="A639" s="12">
        <v>425</v>
      </c>
      <c r="B639" s="12"/>
      <c r="C639" s="13"/>
      <c r="D639" s="13"/>
      <c r="E639" s="13"/>
      <c r="F639" s="14"/>
      <c r="G639" s="15"/>
      <c r="H639" s="15"/>
      <c r="I639" s="24"/>
      <c r="J639" s="17"/>
      <c r="K639" s="18"/>
      <c r="L639" s="19"/>
      <c r="M639" s="31"/>
      <c r="N639" s="21"/>
      <c r="O639" s="30"/>
      <c r="P639" s="30"/>
      <c r="Q639" s="23"/>
      <c r="R639" s="24"/>
      <c r="U639" t="s">
        <v>100</v>
      </c>
      <c r="V639" t="s">
        <v>101</v>
      </c>
      <c r="W639" t="s">
        <v>102</v>
      </c>
      <c r="X639" t="s">
        <v>103</v>
      </c>
      <c r="Y639" t="s">
        <v>103</v>
      </c>
      <c r="AA639" t="s">
        <v>104</v>
      </c>
      <c r="AB639" t="s">
        <v>105</v>
      </c>
      <c r="AC639" t="s">
        <v>106</v>
      </c>
      <c r="AD639" t="s">
        <v>40</v>
      </c>
      <c r="AE639" t="s">
        <v>107</v>
      </c>
    </row>
    <row r="640" spans="1:32" ht="22.15" customHeight="1">
      <c r="A640" s="12">
        <v>426</v>
      </c>
      <c r="B640" s="12"/>
      <c r="C640" s="13"/>
      <c r="D640" s="13"/>
      <c r="E640" s="13"/>
      <c r="F640" s="14"/>
      <c r="G640" s="15"/>
      <c r="H640" s="15"/>
      <c r="I640" s="24"/>
      <c r="J640" s="17"/>
      <c r="K640" s="18"/>
      <c r="L640" s="19"/>
      <c r="M640" s="31"/>
      <c r="N640" s="21"/>
      <c r="O640" s="30"/>
      <c r="P640" s="30"/>
      <c r="Q640" s="23"/>
      <c r="R640" s="24"/>
      <c r="X640" t="s">
        <v>108</v>
      </c>
      <c r="Y640" t="s">
        <v>108</v>
      </c>
      <c r="AA640" t="s">
        <v>109</v>
      </c>
      <c r="AB640" t="s">
        <v>110</v>
      </c>
      <c r="AC640" t="s">
        <v>111</v>
      </c>
      <c r="AD640" t="s">
        <v>52</v>
      </c>
    </row>
    <row r="641" spans="1:31" ht="22.15" customHeight="1">
      <c r="A641" s="12">
        <v>427</v>
      </c>
      <c r="B641" s="12"/>
      <c r="C641" s="13"/>
      <c r="D641" s="13"/>
      <c r="E641" s="13"/>
      <c r="F641" s="14"/>
      <c r="G641" s="15"/>
      <c r="H641" s="15"/>
      <c r="I641" s="24"/>
      <c r="J641" s="17"/>
      <c r="K641" s="18"/>
      <c r="L641" s="19"/>
      <c r="M641" s="31"/>
      <c r="N641" s="21"/>
      <c r="O641" s="30"/>
      <c r="P641" s="30"/>
      <c r="Q641" s="23"/>
      <c r="R641" s="24"/>
      <c r="U641" t="s">
        <v>112</v>
      </c>
      <c r="V641" t="s">
        <v>113</v>
      </c>
      <c r="W641" t="s">
        <v>114</v>
      </c>
      <c r="X641" t="s">
        <v>115</v>
      </c>
      <c r="Y641" t="s">
        <v>116</v>
      </c>
      <c r="AA641" t="s">
        <v>117</v>
      </c>
      <c r="AB641" t="s">
        <v>118</v>
      </c>
      <c r="AC641" t="s">
        <v>119</v>
      </c>
      <c r="AD641" t="s">
        <v>68</v>
      </c>
      <c r="AE641" t="s">
        <v>120</v>
      </c>
    </row>
    <row r="642" spans="1:31" ht="22.15" customHeight="1">
      <c r="A642" s="12">
        <v>428</v>
      </c>
      <c r="B642" s="12"/>
      <c r="C642" s="13"/>
      <c r="D642" s="13"/>
      <c r="E642" s="13"/>
      <c r="F642" s="14"/>
      <c r="G642" s="15"/>
      <c r="H642" s="15"/>
      <c r="I642" s="24"/>
      <c r="J642" s="17"/>
      <c r="K642" s="18"/>
      <c r="L642" s="19"/>
      <c r="M642" s="31"/>
      <c r="N642" s="21"/>
      <c r="O642" s="30"/>
      <c r="P642" s="30"/>
      <c r="Q642" s="23"/>
      <c r="R642" s="24"/>
      <c r="V642" t="s">
        <v>121</v>
      </c>
      <c r="W642" t="s">
        <v>122</v>
      </c>
      <c r="AE642" t="s">
        <v>123</v>
      </c>
    </row>
    <row r="643" spans="1:31" ht="22.15" customHeight="1">
      <c r="A643" s="12">
        <v>429</v>
      </c>
      <c r="B643" s="12"/>
      <c r="C643" s="13"/>
      <c r="D643" s="13"/>
      <c r="E643" s="13"/>
      <c r="F643" s="14"/>
      <c r="G643" s="15"/>
      <c r="H643" s="15"/>
      <c r="I643" s="24"/>
      <c r="J643" s="17"/>
      <c r="K643" s="18"/>
      <c r="L643" s="19"/>
      <c r="M643" s="31"/>
      <c r="N643" s="21"/>
      <c r="O643" s="30"/>
      <c r="P643" s="30"/>
      <c r="Q643" s="23"/>
      <c r="R643" s="24"/>
      <c r="U643" t="s">
        <v>124</v>
      </c>
      <c r="V643" t="s">
        <v>125</v>
      </c>
      <c r="W643" t="s">
        <v>126</v>
      </c>
      <c r="X643" t="s">
        <v>127</v>
      </c>
      <c r="Y643" t="s">
        <v>128</v>
      </c>
      <c r="AA643" t="s">
        <v>128</v>
      </c>
      <c r="AB643" t="s">
        <v>129</v>
      </c>
      <c r="AC643" t="s">
        <v>130</v>
      </c>
      <c r="AD643" t="s">
        <v>131</v>
      </c>
      <c r="AE643" t="s">
        <v>132</v>
      </c>
    </row>
    <row r="644" spans="1:31" ht="22.15" customHeight="1">
      <c r="A644" s="12">
        <v>430</v>
      </c>
      <c r="B644" s="12"/>
      <c r="C644" s="13"/>
      <c r="D644" s="13"/>
      <c r="E644" s="13"/>
      <c r="F644" s="14"/>
      <c r="G644" s="15"/>
      <c r="H644" s="15"/>
      <c r="I644" s="24"/>
      <c r="J644" s="17"/>
      <c r="K644" s="18"/>
      <c r="L644" s="19"/>
      <c r="M644" s="31"/>
      <c r="N644" s="21"/>
      <c r="O644" s="30"/>
      <c r="P644" s="30"/>
      <c r="Q644" s="23"/>
      <c r="R644" s="24"/>
      <c r="U644" t="s">
        <v>134</v>
      </c>
      <c r="X644" t="s">
        <v>135</v>
      </c>
      <c r="Y644" t="s">
        <v>136</v>
      </c>
      <c r="AA644" t="s">
        <v>136</v>
      </c>
      <c r="AB644" t="s">
        <v>137</v>
      </c>
      <c r="AC644" t="s">
        <v>138</v>
      </c>
      <c r="AD644" t="s">
        <v>139</v>
      </c>
    </row>
    <row r="645" spans="1:31" ht="22.15" customHeight="1">
      <c r="A645" s="12">
        <v>431</v>
      </c>
      <c r="B645" s="12"/>
      <c r="C645" s="13"/>
      <c r="D645" s="13"/>
      <c r="E645" s="13"/>
      <c r="F645" s="14"/>
      <c r="G645" s="15"/>
      <c r="H645" s="15"/>
      <c r="I645" s="24"/>
      <c r="J645" s="17"/>
      <c r="K645" s="18"/>
      <c r="L645" s="19"/>
      <c r="M645" s="31"/>
      <c r="N645" s="21"/>
      <c r="O645" s="30"/>
      <c r="P645" s="30"/>
      <c r="Q645" s="23"/>
      <c r="R645" s="24"/>
      <c r="U645" t="s">
        <v>140</v>
      </c>
      <c r="V645" t="s">
        <v>141</v>
      </c>
      <c r="W645" t="s">
        <v>142</v>
      </c>
      <c r="X645" t="s">
        <v>143</v>
      </c>
      <c r="Y645" t="s">
        <v>144</v>
      </c>
      <c r="AA645" t="s">
        <v>144</v>
      </c>
      <c r="AB645" t="s">
        <v>145</v>
      </c>
      <c r="AC645" t="s">
        <v>146</v>
      </c>
      <c r="AD645" t="s">
        <v>147</v>
      </c>
    </row>
    <row r="646" spans="1:31" ht="22.15" customHeight="1">
      <c r="A646" s="12">
        <v>432</v>
      </c>
      <c r="B646" s="12"/>
      <c r="C646" s="13"/>
      <c r="D646" s="13"/>
      <c r="E646" s="13"/>
      <c r="F646" s="14"/>
      <c r="G646" s="15"/>
      <c r="H646" s="15"/>
      <c r="I646" s="24"/>
      <c r="J646" s="17"/>
      <c r="K646" s="18"/>
      <c r="L646" s="19"/>
      <c r="M646" s="31"/>
      <c r="N646" s="21"/>
      <c r="O646" s="30"/>
      <c r="P646" s="30"/>
      <c r="Q646" s="23"/>
      <c r="R646" s="24"/>
      <c r="V646" t="s">
        <v>148</v>
      </c>
    </row>
    <row r="647" spans="1:31" ht="22.15" customHeight="1">
      <c r="A647" s="12">
        <v>433</v>
      </c>
      <c r="B647" s="12"/>
      <c r="C647" s="13"/>
      <c r="D647" s="13"/>
      <c r="E647" s="13"/>
      <c r="F647" s="14"/>
      <c r="G647" s="15"/>
      <c r="H647" s="15"/>
      <c r="I647" s="24"/>
      <c r="J647" s="17"/>
      <c r="K647" s="18"/>
      <c r="L647" s="19"/>
      <c r="M647" s="31"/>
      <c r="N647" s="21"/>
      <c r="O647" s="30"/>
      <c r="P647" s="30"/>
      <c r="Q647" s="23"/>
      <c r="R647" s="24"/>
      <c r="U647" t="s">
        <v>149</v>
      </c>
      <c r="W647" t="s">
        <v>150</v>
      </c>
      <c r="X647" t="s">
        <v>151</v>
      </c>
      <c r="Y647" t="s">
        <v>127</v>
      </c>
      <c r="AA647" t="s">
        <v>129</v>
      </c>
      <c r="AB647" t="s">
        <v>130</v>
      </c>
      <c r="AC647" t="s">
        <v>78</v>
      </c>
      <c r="AD647" t="s">
        <v>152</v>
      </c>
    </row>
    <row r="648" spans="1:31" ht="22.15" customHeight="1">
      <c r="A648" s="12">
        <v>434</v>
      </c>
      <c r="B648" s="12"/>
      <c r="C648" s="13"/>
      <c r="D648" s="13"/>
      <c r="E648" s="13"/>
      <c r="F648" s="14"/>
      <c r="G648" s="15"/>
      <c r="H648" s="15"/>
      <c r="I648" s="24"/>
      <c r="J648" s="17"/>
      <c r="K648" s="18"/>
      <c r="L648" s="19"/>
      <c r="M648" s="31"/>
      <c r="N648" s="21"/>
      <c r="O648" s="30"/>
      <c r="P648" s="30"/>
      <c r="Q648" s="23"/>
      <c r="R648" s="24"/>
      <c r="U648" t="s">
        <v>153</v>
      </c>
      <c r="V648" t="s">
        <v>154</v>
      </c>
      <c r="W648" t="s">
        <v>155</v>
      </c>
      <c r="X648" t="s">
        <v>156</v>
      </c>
      <c r="Y648" t="s">
        <v>135</v>
      </c>
      <c r="AA648" t="s">
        <v>137</v>
      </c>
      <c r="AB648" t="s">
        <v>138</v>
      </c>
      <c r="AC648" t="s">
        <v>86</v>
      </c>
      <c r="AD648" t="s">
        <v>157</v>
      </c>
    </row>
    <row r="649" spans="1:31" ht="22.15" customHeight="1">
      <c r="A649" s="12">
        <v>435</v>
      </c>
      <c r="B649" s="12"/>
      <c r="C649" s="13"/>
      <c r="D649" s="13"/>
      <c r="E649" s="13"/>
      <c r="F649" s="14"/>
      <c r="G649" s="15"/>
      <c r="H649" s="15"/>
      <c r="I649" s="24"/>
      <c r="J649" s="17"/>
      <c r="K649" s="18"/>
      <c r="L649" s="19"/>
      <c r="M649" s="31"/>
      <c r="N649" s="21"/>
      <c r="O649" s="30"/>
      <c r="P649" s="30"/>
      <c r="Q649" s="23"/>
      <c r="R649" s="24"/>
      <c r="U649" t="s">
        <v>158</v>
      </c>
      <c r="V649" t="s">
        <v>159</v>
      </c>
      <c r="X649" t="s">
        <v>160</v>
      </c>
      <c r="Y649" t="s">
        <v>143</v>
      </c>
      <c r="AA649" t="s">
        <v>145</v>
      </c>
      <c r="AB649" t="s">
        <v>146</v>
      </c>
      <c r="AC649" t="s">
        <v>96</v>
      </c>
      <c r="AD649" t="s">
        <v>161</v>
      </c>
    </row>
    <row r="650" spans="1:31" ht="22.15" customHeight="1">
      <c r="A650" s="12">
        <v>436</v>
      </c>
      <c r="B650" s="12"/>
      <c r="C650" s="13"/>
      <c r="D650" s="13"/>
      <c r="E650" s="13"/>
      <c r="F650" s="14"/>
      <c r="G650" s="15"/>
      <c r="H650" s="15"/>
      <c r="I650" s="24"/>
      <c r="J650" s="17"/>
      <c r="K650" s="18"/>
      <c r="L650" s="19"/>
      <c r="M650" s="31"/>
      <c r="N650" s="21"/>
      <c r="O650" s="30"/>
      <c r="P650" s="30"/>
      <c r="Q650" s="23"/>
      <c r="R650" s="24"/>
      <c r="V650" t="s">
        <v>162</v>
      </c>
      <c r="W650" t="s">
        <v>163</v>
      </c>
    </row>
    <row r="651" spans="1:31" ht="22.15" customHeight="1">
      <c r="A651" s="12">
        <v>437</v>
      </c>
      <c r="B651" s="12"/>
      <c r="C651" s="13"/>
      <c r="D651" s="13"/>
      <c r="E651" s="13"/>
      <c r="F651" s="14"/>
      <c r="G651" s="15"/>
      <c r="H651" s="15"/>
      <c r="I651" s="24"/>
      <c r="J651" s="17"/>
      <c r="K651" s="18"/>
      <c r="L651" s="19"/>
      <c r="M651" s="31"/>
      <c r="N651" s="21"/>
      <c r="O651" s="30"/>
      <c r="P651" s="30"/>
      <c r="Q651" s="23"/>
      <c r="R651" s="24"/>
      <c r="U651" t="s">
        <v>164</v>
      </c>
      <c r="W651" t="s">
        <v>165</v>
      </c>
      <c r="X651" t="s">
        <v>166</v>
      </c>
      <c r="Y651" t="s">
        <v>151</v>
      </c>
      <c r="AA651" t="s">
        <v>151</v>
      </c>
      <c r="AB651" t="s">
        <v>167</v>
      </c>
      <c r="AC651" t="s">
        <v>168</v>
      </c>
      <c r="AD651" t="s">
        <v>169</v>
      </c>
    </row>
    <row r="652" spans="1:31" ht="22.15" customHeight="1">
      <c r="A652" s="12">
        <v>438</v>
      </c>
      <c r="B652" s="12"/>
      <c r="C652" s="13"/>
      <c r="D652" s="13"/>
      <c r="E652" s="13"/>
      <c r="F652" s="14"/>
      <c r="G652" s="15"/>
      <c r="H652" s="15"/>
      <c r="I652" s="24"/>
      <c r="J652" s="17"/>
      <c r="K652" s="18"/>
      <c r="L652" s="19"/>
      <c r="M652" s="31"/>
      <c r="N652" s="21"/>
      <c r="O652" s="30"/>
      <c r="P652" s="30"/>
      <c r="Q652" s="23"/>
      <c r="R652" s="24"/>
      <c r="U652" t="s">
        <v>170</v>
      </c>
      <c r="V652" t="s">
        <v>171</v>
      </c>
      <c r="W652" t="s">
        <v>172</v>
      </c>
      <c r="Y652" t="s">
        <v>156</v>
      </c>
      <c r="AA652" t="s">
        <v>156</v>
      </c>
      <c r="AB652" t="s">
        <v>173</v>
      </c>
      <c r="AC652" t="s">
        <v>174</v>
      </c>
      <c r="AD652" t="s">
        <v>175</v>
      </c>
    </row>
    <row r="653" spans="1:31" ht="22.15" customHeight="1">
      <c r="A653" s="12">
        <v>439</v>
      </c>
      <c r="B653" s="12"/>
      <c r="C653" s="13"/>
      <c r="D653" s="13"/>
      <c r="E653" s="13"/>
      <c r="F653" s="14"/>
      <c r="G653" s="15"/>
      <c r="H653" s="15"/>
      <c r="I653" s="24"/>
      <c r="J653" s="17"/>
      <c r="K653" s="18"/>
      <c r="L653" s="19"/>
      <c r="M653" s="31"/>
      <c r="N653" s="21"/>
      <c r="O653" s="30"/>
      <c r="P653" s="30"/>
      <c r="Q653" s="23"/>
      <c r="R653" s="24"/>
      <c r="U653" t="s">
        <v>176</v>
      </c>
      <c r="V653" t="s">
        <v>177</v>
      </c>
      <c r="X653" t="s">
        <v>178</v>
      </c>
      <c r="Y653" t="s">
        <v>160</v>
      </c>
      <c r="AA653" t="s">
        <v>160</v>
      </c>
      <c r="AB653" t="s">
        <v>179</v>
      </c>
      <c r="AC653" t="s">
        <v>180</v>
      </c>
      <c r="AD653" t="s">
        <v>181</v>
      </c>
    </row>
    <row r="654" spans="1:31" ht="22.15" customHeight="1">
      <c r="A654" s="12">
        <v>440</v>
      </c>
      <c r="B654" s="12"/>
      <c r="C654" s="13"/>
      <c r="D654" s="13"/>
      <c r="E654" s="13"/>
      <c r="F654" s="14"/>
      <c r="G654" s="15"/>
      <c r="H654" s="15"/>
      <c r="I654" s="24"/>
      <c r="J654" s="17"/>
      <c r="K654" s="18"/>
      <c r="L654" s="19"/>
      <c r="M654" s="31"/>
      <c r="N654" s="21"/>
      <c r="O654" s="30"/>
      <c r="P654" s="30"/>
      <c r="Q654" s="23"/>
      <c r="R654" s="24"/>
      <c r="V654" t="s">
        <v>184</v>
      </c>
      <c r="W654" t="s">
        <v>185</v>
      </c>
      <c r="X654" t="s">
        <v>186</v>
      </c>
    </row>
    <row r="655" spans="1:31" ht="18" customHeight="1">
      <c r="A655" s="47" t="s">
        <v>302</v>
      </c>
      <c r="B655" s="48"/>
      <c r="C655" s="48"/>
      <c r="D655" s="48"/>
      <c r="E655" s="49"/>
      <c r="F655" s="50" t="s">
        <v>183</v>
      </c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2"/>
      <c r="U655" t="s">
        <v>320</v>
      </c>
      <c r="W655" t="s">
        <v>321</v>
      </c>
      <c r="X655" t="s">
        <v>322</v>
      </c>
      <c r="Y655" t="s">
        <v>323</v>
      </c>
      <c r="AA655" s="16" t="s">
        <v>167</v>
      </c>
      <c r="AB655" s="16" t="s">
        <v>168</v>
      </c>
      <c r="AC655" s="16" t="s">
        <v>131</v>
      </c>
      <c r="AD655" s="16" t="s">
        <v>253</v>
      </c>
    </row>
    <row r="656" spans="1:31" ht="18" customHeight="1">
      <c r="A656" s="12">
        <v>1</v>
      </c>
      <c r="B656" s="47" t="s">
        <v>187</v>
      </c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9"/>
      <c r="AA656" s="27" t="s">
        <v>188</v>
      </c>
      <c r="AB656" s="27" t="s">
        <v>189</v>
      </c>
      <c r="AC656" s="27" t="s">
        <v>190</v>
      </c>
    </row>
    <row r="657" spans="1:32" ht="18" customHeight="1">
      <c r="A657" s="23">
        <v>2</v>
      </c>
      <c r="B657" s="53" t="s">
        <v>191</v>
      </c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5"/>
      <c r="U657" t="s">
        <v>192</v>
      </c>
      <c r="V657" s="16" t="s">
        <v>193</v>
      </c>
      <c r="W657" t="s">
        <v>194</v>
      </c>
      <c r="Y657" t="s">
        <v>195</v>
      </c>
      <c r="AA657" s="16" t="s">
        <v>173</v>
      </c>
      <c r="AB657" s="16" t="s">
        <v>174</v>
      </c>
      <c r="AC657" s="16" t="s">
        <v>139</v>
      </c>
      <c r="AD657" s="16" t="s">
        <v>196</v>
      </c>
    </row>
    <row r="658" spans="1:32" ht="18" customHeight="1">
      <c r="A658" s="23">
        <v>3</v>
      </c>
      <c r="B658" s="47" t="s">
        <v>197</v>
      </c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9"/>
      <c r="V658" s="16" t="s">
        <v>198</v>
      </c>
      <c r="X658" s="16" t="s">
        <v>199</v>
      </c>
      <c r="Y658" t="s">
        <v>200</v>
      </c>
      <c r="AA658" s="16" t="s">
        <v>179</v>
      </c>
      <c r="AB658" s="16" t="s">
        <v>180</v>
      </c>
      <c r="AC658" s="16" t="s">
        <v>147</v>
      </c>
      <c r="AD658" s="16" t="s">
        <v>201</v>
      </c>
    </row>
    <row r="659" spans="1:32" ht="18" customHeight="1">
      <c r="A659" s="37" t="s">
        <v>202</v>
      </c>
      <c r="B659" s="38"/>
      <c r="C659" s="39">
        <f>C389</f>
        <v>0</v>
      </c>
      <c r="D659" s="39"/>
      <c r="E659" s="37" t="s">
        <v>203</v>
      </c>
      <c r="F659" s="40"/>
      <c r="G659" s="41">
        <f>G389</f>
        <v>0</v>
      </c>
      <c r="H659" s="42"/>
      <c r="I659" s="42"/>
      <c r="J659" s="42"/>
      <c r="K659" s="28" t="s">
        <v>204</v>
      </c>
      <c r="L659" s="43" t="s">
        <v>205</v>
      </c>
      <c r="M659" s="43"/>
      <c r="N659" s="43"/>
      <c r="O659" s="43"/>
      <c r="P659" s="43"/>
      <c r="Q659" s="43"/>
      <c r="R659" s="43"/>
      <c r="U659" t="s">
        <v>206</v>
      </c>
      <c r="W659" s="16" t="s">
        <v>207</v>
      </c>
      <c r="X659" s="16" t="s">
        <v>208</v>
      </c>
    </row>
    <row r="660" spans="1:32" ht="18" customHeight="1">
      <c r="A660" s="37" t="s">
        <v>209</v>
      </c>
      <c r="B660" s="38"/>
      <c r="C660" s="82">
        <f>C390</f>
        <v>0</v>
      </c>
      <c r="D660" s="82"/>
      <c r="E660" s="37" t="s">
        <v>210</v>
      </c>
      <c r="F660" s="40"/>
      <c r="G660" s="41">
        <f>G390</f>
        <v>0</v>
      </c>
      <c r="H660" s="42"/>
      <c r="I660" s="42"/>
      <c r="J660" s="42"/>
      <c r="K660" s="28" t="s">
        <v>204</v>
      </c>
      <c r="L660" s="43" t="s">
        <v>205</v>
      </c>
      <c r="M660" s="43"/>
      <c r="N660" s="43"/>
      <c r="O660" s="43"/>
      <c r="P660" s="43"/>
      <c r="Q660" s="43"/>
      <c r="R660" s="43"/>
      <c r="V660" s="16" t="s">
        <v>211</v>
      </c>
      <c r="W660" s="16" t="s">
        <v>212</v>
      </c>
      <c r="Y660" t="s">
        <v>213</v>
      </c>
      <c r="AA660" s="16" t="s">
        <v>214</v>
      </c>
      <c r="AB660" s="16" t="s">
        <v>214</v>
      </c>
      <c r="AC660" s="16" t="s">
        <v>215</v>
      </c>
      <c r="AD660" s="16" t="s">
        <v>216</v>
      </c>
    </row>
    <row r="661" spans="1:32" ht="48" customHeight="1">
      <c r="A661" s="69" t="s">
        <v>0</v>
      </c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1" t="s">
        <v>1</v>
      </c>
      <c r="M661" s="71"/>
      <c r="N661" s="71"/>
      <c r="O661" s="71"/>
      <c r="P661" s="71"/>
      <c r="Q661" s="1" t="s">
        <v>2</v>
      </c>
      <c r="R661" s="2" t="s">
        <v>3</v>
      </c>
      <c r="S661" s="3"/>
      <c r="T661" s="3" t="s">
        <v>4</v>
      </c>
      <c r="U661" s="4" t="s">
        <v>5</v>
      </c>
      <c r="V661" s="4" t="s">
        <v>6</v>
      </c>
      <c r="W661" s="4" t="s">
        <v>7</v>
      </c>
      <c r="X661" s="4" t="s">
        <v>8</v>
      </c>
      <c r="Y661" s="4" t="s">
        <v>9</v>
      </c>
      <c r="Z661" s="4"/>
      <c r="AA661" s="4" t="s">
        <v>10</v>
      </c>
      <c r="AB661" s="4" t="s">
        <v>11</v>
      </c>
      <c r="AC661" s="4" t="s">
        <v>12</v>
      </c>
      <c r="AD661" s="4" t="s">
        <v>13</v>
      </c>
      <c r="AE661" s="4" t="s">
        <v>14</v>
      </c>
      <c r="AF661" s="4" t="s">
        <v>15</v>
      </c>
    </row>
    <row r="662" spans="1:32" s="8" customFormat="1" ht="18" customHeight="1">
      <c r="A662" s="5" t="s">
        <v>16</v>
      </c>
      <c r="B662" s="44">
        <f>B362</f>
        <v>0</v>
      </c>
      <c r="C662" s="45"/>
      <c r="D662" s="45"/>
      <c r="E662" s="6" t="str">
        <f>E362</f>
        <v>Version:1</v>
      </c>
      <c r="F662" s="72" t="s">
        <v>18</v>
      </c>
      <c r="G662" s="74" t="s">
        <v>19</v>
      </c>
      <c r="H662" s="74" t="s">
        <v>20</v>
      </c>
      <c r="I662" s="77" t="s">
        <v>21</v>
      </c>
      <c r="J662" s="62" t="s">
        <v>22</v>
      </c>
      <c r="K662" s="79" t="s">
        <v>23</v>
      </c>
      <c r="L662" s="62" t="s">
        <v>24</v>
      </c>
      <c r="M662" s="56" t="s">
        <v>25</v>
      </c>
      <c r="N662" s="59" t="s">
        <v>26</v>
      </c>
      <c r="O662" s="62" t="s">
        <v>27</v>
      </c>
      <c r="P662" s="65" t="s">
        <v>28</v>
      </c>
      <c r="Q662" s="66" t="s">
        <v>29</v>
      </c>
      <c r="R662" s="68" t="s">
        <v>30</v>
      </c>
      <c r="S662"/>
      <c r="T662" s="7" t="str">
        <f>IF(C695&gt;18,IF(C695=20,Nennweite20,IF(C695=60,U664,IF(C695=50,Nennweite50,IF(C695=25,Nennweite25,IF(C695=32,Nennweite32,IF(C695=40,Nennweite40,"&gt;")))))),IF(C695=8,Nennweite8,IF(C695=6,Nennweite6,IF(C695=10,Nennweite10,IF(C695=18,Nennweite18,IF(C695=16,Nennweite16,IF(C695=12,Nennweite12,"")))))))</f>
        <v/>
      </c>
      <c r="U662" t="s">
        <v>31</v>
      </c>
      <c r="V662" t="s">
        <v>32</v>
      </c>
      <c r="W662" t="s">
        <v>33</v>
      </c>
      <c r="X662" t="s">
        <v>34</v>
      </c>
      <c r="Y662" t="s">
        <v>35</v>
      </c>
      <c r="Z662"/>
      <c r="AA662" t="s">
        <v>36</v>
      </c>
      <c r="AB662" t="s">
        <v>37</v>
      </c>
      <c r="AC662" t="s">
        <v>38</v>
      </c>
      <c r="AD662" t="s">
        <v>39</v>
      </c>
      <c r="AE662" t="s">
        <v>40</v>
      </c>
      <c r="AF662" t="s">
        <v>41</v>
      </c>
    </row>
    <row r="663" spans="1:32" ht="18" customHeight="1">
      <c r="A663" s="5" t="s">
        <v>42</v>
      </c>
      <c r="B663" s="44">
        <f>B363</f>
        <v>0</v>
      </c>
      <c r="C663" s="45"/>
      <c r="D663" s="45"/>
      <c r="E663" s="46"/>
      <c r="F663" s="72"/>
      <c r="G663" s="75"/>
      <c r="H663" s="75"/>
      <c r="I663" s="77"/>
      <c r="J663" s="63"/>
      <c r="K663" s="80"/>
      <c r="L663" s="63"/>
      <c r="M663" s="57"/>
      <c r="N663" s="60"/>
      <c r="O663" s="63"/>
      <c r="P663" s="63"/>
      <c r="Q663" s="66"/>
      <c r="R663" s="66"/>
      <c r="U663" t="s">
        <v>43</v>
      </c>
      <c r="V663" t="s">
        <v>44</v>
      </c>
      <c r="W663" t="s">
        <v>45</v>
      </c>
      <c r="X663" t="s">
        <v>46</v>
      </c>
      <c r="Y663" t="s">
        <v>47</v>
      </c>
      <c r="AA663" t="s">
        <v>48</v>
      </c>
      <c r="AB663" t="s">
        <v>49</v>
      </c>
      <c r="AC663" t="s">
        <v>50</v>
      </c>
      <c r="AD663" t="s">
        <v>51</v>
      </c>
      <c r="AE663" t="s">
        <v>52</v>
      </c>
      <c r="AF663" t="s">
        <v>53</v>
      </c>
    </row>
    <row r="664" spans="1:32" ht="18" customHeight="1" thickBot="1">
      <c r="A664" s="9" t="s">
        <v>54</v>
      </c>
      <c r="B664" s="10" t="s">
        <v>55</v>
      </c>
      <c r="C664" s="10" t="s">
        <v>56</v>
      </c>
      <c r="D664" s="11" t="s">
        <v>57</v>
      </c>
      <c r="E664" s="9" t="s">
        <v>58</v>
      </c>
      <c r="F664" s="73"/>
      <c r="G664" s="76"/>
      <c r="H664" s="76"/>
      <c r="I664" s="78"/>
      <c r="J664" s="64"/>
      <c r="K664" s="81"/>
      <c r="L664" s="64"/>
      <c r="M664" s="58"/>
      <c r="N664" s="61"/>
      <c r="O664" s="64"/>
      <c r="P664" s="64"/>
      <c r="Q664" s="67"/>
      <c r="R664" s="67"/>
      <c r="U664" t="s">
        <v>59</v>
      </c>
      <c r="V664" t="s">
        <v>60</v>
      </c>
      <c r="W664" t="s">
        <v>61</v>
      </c>
      <c r="X664" t="s">
        <v>62</v>
      </c>
      <c r="Y664" t="s">
        <v>63</v>
      </c>
      <c r="AA664" t="s">
        <v>64</v>
      </c>
      <c r="AB664" t="s">
        <v>65</v>
      </c>
      <c r="AC664" t="s">
        <v>66</v>
      </c>
      <c r="AD664" t="s">
        <v>67</v>
      </c>
      <c r="AE664" t="s">
        <v>68</v>
      </c>
      <c r="AF664" t="s">
        <v>69</v>
      </c>
    </row>
    <row r="665" spans="1:32" ht="22.15" customHeight="1">
      <c r="A665" s="12">
        <v>441</v>
      </c>
      <c r="B665" s="13"/>
      <c r="C665" s="13"/>
      <c r="D665" s="13"/>
      <c r="E665" s="13"/>
      <c r="F665" s="14"/>
      <c r="G665" s="15"/>
      <c r="H665" s="15"/>
      <c r="I665" s="24"/>
      <c r="J665" s="17"/>
      <c r="K665" s="18"/>
      <c r="L665" s="19"/>
      <c r="M665" s="31"/>
      <c r="N665" s="21"/>
      <c r="O665" s="30"/>
      <c r="P665" s="30"/>
      <c r="Q665" s="23"/>
      <c r="R665" s="24"/>
      <c r="U665" t="s">
        <v>70</v>
      </c>
      <c r="V665" t="s">
        <v>71</v>
      </c>
      <c r="W665" t="s">
        <v>72</v>
      </c>
      <c r="X665" t="s">
        <v>73</v>
      </c>
      <c r="Y665" t="s">
        <v>74</v>
      </c>
      <c r="AA665" t="s">
        <v>75</v>
      </c>
      <c r="AB665" t="s">
        <v>76</v>
      </c>
      <c r="AC665" t="s">
        <v>77</v>
      </c>
      <c r="AD665" t="s">
        <v>78</v>
      </c>
      <c r="AE665" t="s">
        <v>79</v>
      </c>
    </row>
    <row r="666" spans="1:32" ht="22.15" customHeight="1">
      <c r="A666" s="12">
        <v>442</v>
      </c>
      <c r="B666" s="13"/>
      <c r="C666" s="13"/>
      <c r="D666" s="13"/>
      <c r="E666" s="13"/>
      <c r="F666" s="14"/>
      <c r="G666" s="15"/>
      <c r="H666" s="15"/>
      <c r="I666" s="24"/>
      <c r="J666" s="17"/>
      <c r="K666" s="18"/>
      <c r="L666" s="19"/>
      <c r="M666" s="31"/>
      <c r="N666" s="21"/>
      <c r="O666" s="30"/>
      <c r="P666" s="30"/>
      <c r="Q666" s="23"/>
      <c r="R666" s="24"/>
      <c r="U666" t="s">
        <v>80</v>
      </c>
      <c r="X666" t="s">
        <v>81</v>
      </c>
      <c r="Y666" t="s">
        <v>82</v>
      </c>
      <c r="AA666" t="s">
        <v>83</v>
      </c>
      <c r="AB666" t="s">
        <v>84</v>
      </c>
      <c r="AC666" t="s">
        <v>85</v>
      </c>
      <c r="AD666" t="s">
        <v>86</v>
      </c>
      <c r="AE666" t="s">
        <v>87</v>
      </c>
    </row>
    <row r="667" spans="1:32" ht="22.15" customHeight="1">
      <c r="A667" s="12">
        <v>443</v>
      </c>
      <c r="B667" s="13"/>
      <c r="C667" s="13"/>
      <c r="D667" s="13"/>
      <c r="E667" s="13"/>
      <c r="F667" s="14"/>
      <c r="G667" s="15"/>
      <c r="H667" s="15"/>
      <c r="I667" s="24"/>
      <c r="J667" s="17"/>
      <c r="K667" s="18"/>
      <c r="L667" s="19"/>
      <c r="M667" s="31"/>
      <c r="N667" s="21"/>
      <c r="O667" s="30"/>
      <c r="P667" s="30"/>
      <c r="Q667" s="23"/>
      <c r="R667" s="24"/>
      <c r="U667" t="s">
        <v>88</v>
      </c>
      <c r="V667" t="s">
        <v>89</v>
      </c>
      <c r="W667" t="s">
        <v>90</v>
      </c>
      <c r="X667" t="s">
        <v>91</v>
      </c>
      <c r="Y667" t="s">
        <v>92</v>
      </c>
      <c r="AA667" t="s">
        <v>93</v>
      </c>
      <c r="AB667" t="s">
        <v>94</v>
      </c>
      <c r="AC667" t="s">
        <v>95</v>
      </c>
      <c r="AD667" t="s">
        <v>96</v>
      </c>
      <c r="AE667" t="s">
        <v>97</v>
      </c>
    </row>
    <row r="668" spans="1:32" ht="22.15" customHeight="1">
      <c r="A668" s="12">
        <v>444</v>
      </c>
      <c r="B668" s="12"/>
      <c r="C668" s="13"/>
      <c r="D668" s="13"/>
      <c r="E668" s="13"/>
      <c r="F668" s="14"/>
      <c r="G668" s="15"/>
      <c r="H668" s="15"/>
      <c r="I668" s="24"/>
      <c r="J668" s="17"/>
      <c r="K668" s="18"/>
      <c r="L668" s="19"/>
      <c r="M668" s="31"/>
      <c r="N668" s="21"/>
      <c r="O668" s="30"/>
      <c r="P668" s="30"/>
      <c r="Q668" s="23"/>
      <c r="R668" s="24"/>
      <c r="V668" t="s">
        <v>98</v>
      </c>
      <c r="W668" t="s">
        <v>99</v>
      </c>
    </row>
    <row r="669" spans="1:32" ht="22.15" customHeight="1">
      <c r="A669" s="12">
        <v>445</v>
      </c>
      <c r="B669" s="12"/>
      <c r="C669" s="13"/>
      <c r="D669" s="13"/>
      <c r="E669" s="13"/>
      <c r="F669" s="14"/>
      <c r="G669" s="15"/>
      <c r="H669" s="15"/>
      <c r="I669" s="24"/>
      <c r="J669" s="17"/>
      <c r="K669" s="18"/>
      <c r="L669" s="19"/>
      <c r="M669" s="31"/>
      <c r="N669" s="21"/>
      <c r="O669" s="30"/>
      <c r="P669" s="30"/>
      <c r="Q669" s="23"/>
      <c r="R669" s="24"/>
      <c r="U669" t="s">
        <v>100</v>
      </c>
      <c r="V669" t="s">
        <v>101</v>
      </c>
      <c r="W669" t="s">
        <v>102</v>
      </c>
      <c r="X669" t="s">
        <v>103</v>
      </c>
      <c r="Y669" t="s">
        <v>103</v>
      </c>
      <c r="AA669" t="s">
        <v>104</v>
      </c>
      <c r="AB669" t="s">
        <v>105</v>
      </c>
      <c r="AC669" t="s">
        <v>106</v>
      </c>
      <c r="AD669" t="s">
        <v>40</v>
      </c>
      <c r="AE669" t="s">
        <v>107</v>
      </c>
    </row>
    <row r="670" spans="1:32" ht="22.15" customHeight="1">
      <c r="A670" s="12">
        <v>446</v>
      </c>
      <c r="B670" s="12"/>
      <c r="C670" s="13"/>
      <c r="D670" s="13"/>
      <c r="E670" s="13"/>
      <c r="F670" s="14"/>
      <c r="G670" s="15"/>
      <c r="H670" s="15"/>
      <c r="I670" s="24"/>
      <c r="J670" s="17"/>
      <c r="K670" s="18"/>
      <c r="L670" s="19"/>
      <c r="M670" s="31"/>
      <c r="N670" s="21"/>
      <c r="O670" s="30"/>
      <c r="P670" s="30"/>
      <c r="Q670" s="23"/>
      <c r="R670" s="24"/>
      <c r="X670" t="s">
        <v>108</v>
      </c>
      <c r="Y670" t="s">
        <v>108</v>
      </c>
      <c r="AA670" t="s">
        <v>109</v>
      </c>
      <c r="AB670" t="s">
        <v>110</v>
      </c>
      <c r="AC670" t="s">
        <v>111</v>
      </c>
      <c r="AD670" t="s">
        <v>52</v>
      </c>
    </row>
    <row r="671" spans="1:32" ht="22.15" customHeight="1">
      <c r="A671" s="12">
        <v>447</v>
      </c>
      <c r="B671" s="12"/>
      <c r="C671" s="13"/>
      <c r="D671" s="13"/>
      <c r="E671" s="13"/>
      <c r="F671" s="14"/>
      <c r="G671" s="15"/>
      <c r="H671" s="15"/>
      <c r="I671" s="24"/>
      <c r="J671" s="17"/>
      <c r="K671" s="18"/>
      <c r="L671" s="19"/>
      <c r="M671" s="31"/>
      <c r="N671" s="21"/>
      <c r="O671" s="30"/>
      <c r="P671" s="30"/>
      <c r="Q671" s="23"/>
      <c r="R671" s="24"/>
      <c r="U671" t="s">
        <v>112</v>
      </c>
      <c r="V671" t="s">
        <v>113</v>
      </c>
      <c r="W671" t="s">
        <v>114</v>
      </c>
      <c r="X671" t="s">
        <v>115</v>
      </c>
      <c r="Y671" t="s">
        <v>116</v>
      </c>
      <c r="AA671" t="s">
        <v>117</v>
      </c>
      <c r="AB671" t="s">
        <v>118</v>
      </c>
      <c r="AC671" t="s">
        <v>119</v>
      </c>
      <c r="AD671" t="s">
        <v>68</v>
      </c>
      <c r="AE671" t="s">
        <v>120</v>
      </c>
    </row>
    <row r="672" spans="1:32" ht="22.15" customHeight="1">
      <c r="A672" s="12">
        <v>448</v>
      </c>
      <c r="B672" s="12"/>
      <c r="C672" s="13"/>
      <c r="D672" s="13"/>
      <c r="E672" s="13"/>
      <c r="F672" s="14"/>
      <c r="G672" s="15"/>
      <c r="H672" s="15"/>
      <c r="I672" s="24"/>
      <c r="J672" s="17"/>
      <c r="K672" s="18"/>
      <c r="L672" s="19"/>
      <c r="M672" s="31"/>
      <c r="N672" s="21"/>
      <c r="O672" s="30"/>
      <c r="P672" s="30"/>
      <c r="Q672" s="23"/>
      <c r="R672" s="24"/>
      <c r="V672" t="s">
        <v>121</v>
      </c>
      <c r="W672" t="s">
        <v>122</v>
      </c>
      <c r="AE672" t="s">
        <v>123</v>
      </c>
    </row>
    <row r="673" spans="1:31" ht="22.15" customHeight="1">
      <c r="A673" s="12">
        <v>449</v>
      </c>
      <c r="B673" s="12"/>
      <c r="C673" s="13"/>
      <c r="D673" s="13"/>
      <c r="E673" s="13"/>
      <c r="F673" s="14"/>
      <c r="G673" s="15"/>
      <c r="H673" s="15"/>
      <c r="I673" s="24"/>
      <c r="J673" s="17"/>
      <c r="K673" s="18"/>
      <c r="L673" s="19"/>
      <c r="M673" s="31"/>
      <c r="N673" s="21"/>
      <c r="O673" s="30"/>
      <c r="P673" s="30"/>
      <c r="Q673" s="23"/>
      <c r="R673" s="24"/>
      <c r="U673" t="s">
        <v>124</v>
      </c>
      <c r="V673" t="s">
        <v>125</v>
      </c>
      <c r="W673" t="s">
        <v>126</v>
      </c>
      <c r="X673" t="s">
        <v>127</v>
      </c>
      <c r="Y673" t="s">
        <v>128</v>
      </c>
      <c r="AA673" t="s">
        <v>128</v>
      </c>
      <c r="AB673" t="s">
        <v>129</v>
      </c>
      <c r="AC673" t="s">
        <v>130</v>
      </c>
      <c r="AD673" t="s">
        <v>131</v>
      </c>
      <c r="AE673" t="s">
        <v>132</v>
      </c>
    </row>
    <row r="674" spans="1:31" ht="22.15" customHeight="1">
      <c r="A674" s="12">
        <v>450</v>
      </c>
      <c r="B674" s="12"/>
      <c r="C674" s="13"/>
      <c r="D674" s="13"/>
      <c r="E674" s="13"/>
      <c r="F674" s="14"/>
      <c r="G674" s="15"/>
      <c r="H674" s="15"/>
      <c r="I674" s="24"/>
      <c r="J674" s="17"/>
      <c r="K674" s="18"/>
      <c r="L674" s="19"/>
      <c r="M674" s="31"/>
      <c r="N674" s="21"/>
      <c r="O674" s="30"/>
      <c r="P674" s="30"/>
      <c r="Q674" s="23"/>
      <c r="R674" s="24"/>
      <c r="U674" t="s">
        <v>134</v>
      </c>
      <c r="X674" t="s">
        <v>135</v>
      </c>
      <c r="Y674" t="s">
        <v>136</v>
      </c>
      <c r="AA674" t="s">
        <v>136</v>
      </c>
      <c r="AB674" t="s">
        <v>137</v>
      </c>
      <c r="AC674" t="s">
        <v>138</v>
      </c>
      <c r="AD674" t="s">
        <v>139</v>
      </c>
    </row>
    <row r="675" spans="1:31" ht="22.15" customHeight="1">
      <c r="A675" s="12">
        <v>451</v>
      </c>
      <c r="B675" s="12"/>
      <c r="C675" s="13"/>
      <c r="D675" s="13"/>
      <c r="E675" s="13"/>
      <c r="F675" s="14"/>
      <c r="G675" s="15"/>
      <c r="H675" s="15"/>
      <c r="I675" s="24"/>
      <c r="J675" s="17"/>
      <c r="K675" s="18"/>
      <c r="L675" s="19"/>
      <c r="M675" s="31"/>
      <c r="N675" s="21"/>
      <c r="O675" s="30"/>
      <c r="P675" s="30"/>
      <c r="Q675" s="23"/>
      <c r="R675" s="24"/>
      <c r="U675" t="s">
        <v>140</v>
      </c>
      <c r="V675" t="s">
        <v>141</v>
      </c>
      <c r="W675" t="s">
        <v>142</v>
      </c>
      <c r="X675" t="s">
        <v>143</v>
      </c>
      <c r="Y675" t="s">
        <v>144</v>
      </c>
      <c r="AA675" t="s">
        <v>144</v>
      </c>
      <c r="AB675" t="s">
        <v>145</v>
      </c>
      <c r="AC675" t="s">
        <v>146</v>
      </c>
      <c r="AD675" t="s">
        <v>147</v>
      </c>
    </row>
    <row r="676" spans="1:31" ht="22.15" customHeight="1">
      <c r="A676" s="12">
        <v>452</v>
      </c>
      <c r="B676" s="12"/>
      <c r="C676" s="13"/>
      <c r="D676" s="13"/>
      <c r="E676" s="13"/>
      <c r="F676" s="14"/>
      <c r="G676" s="15"/>
      <c r="H676" s="15"/>
      <c r="I676" s="24"/>
      <c r="J676" s="17"/>
      <c r="K676" s="18"/>
      <c r="L676" s="19"/>
      <c r="M676" s="31"/>
      <c r="N676" s="21"/>
      <c r="O676" s="30"/>
      <c r="P676" s="30"/>
      <c r="Q676" s="23"/>
      <c r="R676" s="24"/>
      <c r="V676" t="s">
        <v>148</v>
      </c>
    </row>
    <row r="677" spans="1:31" ht="22.15" customHeight="1">
      <c r="A677" s="12">
        <v>453</v>
      </c>
      <c r="B677" s="12"/>
      <c r="C677" s="13"/>
      <c r="D677" s="13"/>
      <c r="E677" s="13"/>
      <c r="F677" s="14"/>
      <c r="G677" s="15"/>
      <c r="H677" s="15"/>
      <c r="I677" s="24"/>
      <c r="J677" s="17"/>
      <c r="K677" s="18"/>
      <c r="L677" s="19"/>
      <c r="M677" s="31"/>
      <c r="N677" s="21"/>
      <c r="O677" s="30"/>
      <c r="P677" s="30"/>
      <c r="Q677" s="23"/>
      <c r="R677" s="24"/>
      <c r="U677" t="s">
        <v>149</v>
      </c>
      <c r="W677" t="s">
        <v>150</v>
      </c>
      <c r="X677" t="s">
        <v>151</v>
      </c>
      <c r="Y677" t="s">
        <v>127</v>
      </c>
      <c r="AA677" t="s">
        <v>129</v>
      </c>
      <c r="AB677" t="s">
        <v>130</v>
      </c>
      <c r="AC677" t="s">
        <v>78</v>
      </c>
      <c r="AD677" t="s">
        <v>152</v>
      </c>
    </row>
    <row r="678" spans="1:31" ht="22.15" customHeight="1">
      <c r="A678" s="12">
        <v>454</v>
      </c>
      <c r="B678" s="12"/>
      <c r="C678" s="13"/>
      <c r="D678" s="13"/>
      <c r="E678" s="13"/>
      <c r="F678" s="14"/>
      <c r="G678" s="15"/>
      <c r="H678" s="15"/>
      <c r="I678" s="24"/>
      <c r="J678" s="17"/>
      <c r="K678" s="18"/>
      <c r="L678" s="19"/>
      <c r="M678" s="31"/>
      <c r="N678" s="21"/>
      <c r="O678" s="30"/>
      <c r="P678" s="30"/>
      <c r="Q678" s="23"/>
      <c r="R678" s="24"/>
      <c r="U678" t="s">
        <v>153</v>
      </c>
      <c r="V678" t="s">
        <v>154</v>
      </c>
      <c r="W678" t="s">
        <v>155</v>
      </c>
      <c r="X678" t="s">
        <v>156</v>
      </c>
      <c r="Y678" t="s">
        <v>135</v>
      </c>
      <c r="AA678" t="s">
        <v>137</v>
      </c>
      <c r="AB678" t="s">
        <v>138</v>
      </c>
      <c r="AC678" t="s">
        <v>86</v>
      </c>
      <c r="AD678" t="s">
        <v>157</v>
      </c>
    </row>
    <row r="679" spans="1:31" ht="22.15" customHeight="1">
      <c r="A679" s="12">
        <v>455</v>
      </c>
      <c r="B679" s="12"/>
      <c r="C679" s="13"/>
      <c r="D679" s="13"/>
      <c r="E679" s="13"/>
      <c r="F679" s="14"/>
      <c r="G679" s="15"/>
      <c r="H679" s="15"/>
      <c r="I679" s="24"/>
      <c r="J679" s="17"/>
      <c r="K679" s="18"/>
      <c r="L679" s="19"/>
      <c r="M679" s="31"/>
      <c r="N679" s="21"/>
      <c r="O679" s="30"/>
      <c r="P679" s="30"/>
      <c r="Q679" s="23"/>
      <c r="R679" s="24"/>
      <c r="U679" t="s">
        <v>158</v>
      </c>
      <c r="V679" t="s">
        <v>159</v>
      </c>
      <c r="X679" t="s">
        <v>160</v>
      </c>
      <c r="Y679" t="s">
        <v>143</v>
      </c>
      <c r="AA679" t="s">
        <v>145</v>
      </c>
      <c r="AB679" t="s">
        <v>146</v>
      </c>
      <c r="AC679" t="s">
        <v>96</v>
      </c>
      <c r="AD679" t="s">
        <v>161</v>
      </c>
    </row>
    <row r="680" spans="1:31" ht="22.15" customHeight="1">
      <c r="A680" s="12">
        <v>456</v>
      </c>
      <c r="B680" s="12"/>
      <c r="C680" s="13"/>
      <c r="D680" s="13"/>
      <c r="E680" s="13"/>
      <c r="F680" s="14"/>
      <c r="G680" s="15"/>
      <c r="H680" s="15"/>
      <c r="I680" s="24"/>
      <c r="J680" s="17"/>
      <c r="K680" s="18"/>
      <c r="L680" s="19"/>
      <c r="M680" s="31"/>
      <c r="N680" s="21"/>
      <c r="O680" s="30"/>
      <c r="P680" s="30"/>
      <c r="Q680" s="23"/>
      <c r="R680" s="24"/>
      <c r="V680" t="s">
        <v>162</v>
      </c>
      <c r="W680" t="s">
        <v>163</v>
      </c>
    </row>
    <row r="681" spans="1:31" ht="22.15" customHeight="1">
      <c r="A681" s="12">
        <v>457</v>
      </c>
      <c r="B681" s="12"/>
      <c r="C681" s="13"/>
      <c r="D681" s="13"/>
      <c r="E681" s="13"/>
      <c r="F681" s="14"/>
      <c r="G681" s="15"/>
      <c r="H681" s="15"/>
      <c r="I681" s="24"/>
      <c r="J681" s="17"/>
      <c r="K681" s="18"/>
      <c r="L681" s="19"/>
      <c r="M681" s="31"/>
      <c r="N681" s="21"/>
      <c r="O681" s="30"/>
      <c r="P681" s="30"/>
      <c r="Q681" s="23"/>
      <c r="R681" s="24"/>
      <c r="U681" t="s">
        <v>164</v>
      </c>
      <c r="W681" t="s">
        <v>165</v>
      </c>
      <c r="X681" t="s">
        <v>166</v>
      </c>
      <c r="Y681" t="s">
        <v>151</v>
      </c>
      <c r="AA681" t="s">
        <v>151</v>
      </c>
      <c r="AB681" t="s">
        <v>167</v>
      </c>
      <c r="AC681" t="s">
        <v>168</v>
      </c>
      <c r="AD681" t="s">
        <v>169</v>
      </c>
    </row>
    <row r="682" spans="1:31" ht="22.15" customHeight="1">
      <c r="A682" s="12">
        <v>458</v>
      </c>
      <c r="B682" s="12"/>
      <c r="C682" s="13"/>
      <c r="D682" s="13"/>
      <c r="E682" s="13"/>
      <c r="F682" s="14"/>
      <c r="G682" s="15"/>
      <c r="H682" s="15"/>
      <c r="I682" s="24"/>
      <c r="J682" s="17"/>
      <c r="K682" s="18"/>
      <c r="L682" s="19"/>
      <c r="M682" s="31"/>
      <c r="N682" s="21"/>
      <c r="O682" s="30"/>
      <c r="P682" s="30"/>
      <c r="Q682" s="23"/>
      <c r="R682" s="24"/>
      <c r="U682" t="s">
        <v>170</v>
      </c>
      <c r="V682" t="s">
        <v>171</v>
      </c>
      <c r="W682" t="s">
        <v>172</v>
      </c>
      <c r="Y682" t="s">
        <v>156</v>
      </c>
      <c r="AA682" t="s">
        <v>156</v>
      </c>
      <c r="AB682" t="s">
        <v>173</v>
      </c>
      <c r="AC682" t="s">
        <v>174</v>
      </c>
      <c r="AD682" t="s">
        <v>175</v>
      </c>
    </row>
    <row r="683" spans="1:31" ht="22.15" customHeight="1">
      <c r="A683" s="12">
        <v>459</v>
      </c>
      <c r="B683" s="12"/>
      <c r="C683" s="13"/>
      <c r="D683" s="13"/>
      <c r="E683" s="13"/>
      <c r="F683" s="14"/>
      <c r="G683" s="15"/>
      <c r="H683" s="15"/>
      <c r="I683" s="24"/>
      <c r="J683" s="17"/>
      <c r="K683" s="18"/>
      <c r="L683" s="19"/>
      <c r="M683" s="31"/>
      <c r="N683" s="21"/>
      <c r="O683" s="30"/>
      <c r="P683" s="30"/>
      <c r="Q683" s="23"/>
      <c r="R683" s="24"/>
      <c r="U683" t="s">
        <v>176</v>
      </c>
      <c r="V683" t="s">
        <v>177</v>
      </c>
      <c r="X683" t="s">
        <v>178</v>
      </c>
      <c r="Y683" t="s">
        <v>160</v>
      </c>
      <c r="AA683" t="s">
        <v>160</v>
      </c>
      <c r="AB683" t="s">
        <v>179</v>
      </c>
      <c r="AC683" t="s">
        <v>180</v>
      </c>
      <c r="AD683" t="s">
        <v>181</v>
      </c>
    </row>
    <row r="684" spans="1:31" ht="22.15" customHeight="1">
      <c r="A684" s="12">
        <v>460</v>
      </c>
      <c r="B684" s="12"/>
      <c r="C684" s="13"/>
      <c r="D684" s="13"/>
      <c r="E684" s="13"/>
      <c r="F684" s="14"/>
      <c r="G684" s="15"/>
      <c r="H684" s="15"/>
      <c r="I684" s="24"/>
      <c r="J684" s="17"/>
      <c r="K684" s="18"/>
      <c r="L684" s="19"/>
      <c r="M684" s="31"/>
      <c r="N684" s="21"/>
      <c r="O684" s="30"/>
      <c r="P684" s="30"/>
      <c r="Q684" s="23"/>
      <c r="R684" s="24"/>
      <c r="V684" t="s">
        <v>184</v>
      </c>
      <c r="W684" t="s">
        <v>185</v>
      </c>
      <c r="X684" t="s">
        <v>186</v>
      </c>
    </row>
    <row r="685" spans="1:31" ht="18" customHeight="1">
      <c r="A685" s="47" t="s">
        <v>302</v>
      </c>
      <c r="B685" s="48"/>
      <c r="C685" s="48"/>
      <c r="D685" s="48"/>
      <c r="E685" s="49"/>
      <c r="F685" s="50" t="s">
        <v>183</v>
      </c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2"/>
      <c r="U685" t="s">
        <v>320</v>
      </c>
      <c r="W685" t="s">
        <v>321</v>
      </c>
      <c r="X685" t="s">
        <v>322</v>
      </c>
      <c r="Y685" t="s">
        <v>323</v>
      </c>
      <c r="AA685" s="16" t="s">
        <v>167</v>
      </c>
      <c r="AB685" s="16" t="s">
        <v>168</v>
      </c>
      <c r="AC685" s="16" t="s">
        <v>131</v>
      </c>
      <c r="AD685" s="16" t="s">
        <v>253</v>
      </c>
    </row>
    <row r="686" spans="1:31" ht="18" customHeight="1">
      <c r="A686" s="12">
        <v>1</v>
      </c>
      <c r="B686" s="47" t="s">
        <v>187</v>
      </c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9"/>
      <c r="AA686" s="27" t="s">
        <v>188</v>
      </c>
      <c r="AB686" s="27" t="s">
        <v>189</v>
      </c>
      <c r="AC686" s="27" t="s">
        <v>190</v>
      </c>
    </row>
    <row r="687" spans="1:31" ht="18" customHeight="1">
      <c r="A687" s="23">
        <v>2</v>
      </c>
      <c r="B687" s="53" t="s">
        <v>191</v>
      </c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5"/>
      <c r="U687" t="s">
        <v>192</v>
      </c>
      <c r="V687" s="16" t="s">
        <v>193</v>
      </c>
      <c r="W687" t="s">
        <v>194</v>
      </c>
      <c r="Y687" t="s">
        <v>195</v>
      </c>
      <c r="AA687" s="16" t="s">
        <v>173</v>
      </c>
      <c r="AB687" s="16" t="s">
        <v>174</v>
      </c>
      <c r="AC687" s="16" t="s">
        <v>139</v>
      </c>
      <c r="AD687" s="16" t="s">
        <v>196</v>
      </c>
    </row>
    <row r="688" spans="1:31" ht="18" customHeight="1">
      <c r="A688" s="23">
        <v>3</v>
      </c>
      <c r="B688" s="47" t="s">
        <v>197</v>
      </c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9"/>
      <c r="V688" s="16" t="s">
        <v>198</v>
      </c>
      <c r="X688" s="16" t="s">
        <v>199</v>
      </c>
      <c r="Y688" t="s">
        <v>200</v>
      </c>
      <c r="AA688" s="16" t="s">
        <v>179</v>
      </c>
      <c r="AB688" s="16" t="s">
        <v>180</v>
      </c>
      <c r="AC688" s="16" t="s">
        <v>147</v>
      </c>
      <c r="AD688" s="16" t="s">
        <v>201</v>
      </c>
    </row>
    <row r="689" spans="1:32" ht="18" customHeight="1">
      <c r="A689" s="37" t="s">
        <v>202</v>
      </c>
      <c r="B689" s="38"/>
      <c r="C689" s="39">
        <f>C389</f>
        <v>0</v>
      </c>
      <c r="D689" s="39"/>
      <c r="E689" s="37" t="s">
        <v>203</v>
      </c>
      <c r="F689" s="40"/>
      <c r="G689" s="41">
        <f>G389</f>
        <v>0</v>
      </c>
      <c r="H689" s="42"/>
      <c r="I689" s="42"/>
      <c r="J689" s="42"/>
      <c r="K689" s="28" t="s">
        <v>204</v>
      </c>
      <c r="L689" s="43" t="s">
        <v>205</v>
      </c>
      <c r="M689" s="43"/>
      <c r="N689" s="43"/>
      <c r="O689" s="43"/>
      <c r="P689" s="43"/>
      <c r="Q689" s="43"/>
      <c r="R689" s="43"/>
      <c r="U689" t="s">
        <v>206</v>
      </c>
      <c r="W689" s="16" t="s">
        <v>207</v>
      </c>
      <c r="X689" s="16" t="s">
        <v>208</v>
      </c>
    </row>
    <row r="690" spans="1:32" ht="18" customHeight="1">
      <c r="A690" s="37" t="s">
        <v>209</v>
      </c>
      <c r="B690" s="38"/>
      <c r="C690" s="39">
        <f>C390</f>
        <v>0</v>
      </c>
      <c r="D690" s="39"/>
      <c r="E690" s="37" t="s">
        <v>210</v>
      </c>
      <c r="F690" s="40"/>
      <c r="G690" s="41">
        <f>G390</f>
        <v>0</v>
      </c>
      <c r="H690" s="42"/>
      <c r="I690" s="42"/>
      <c r="J690" s="42"/>
      <c r="K690" s="28" t="s">
        <v>204</v>
      </c>
      <c r="L690" s="43" t="s">
        <v>205</v>
      </c>
      <c r="M690" s="43"/>
      <c r="N690" s="43"/>
      <c r="O690" s="43"/>
      <c r="P690" s="43"/>
      <c r="Q690" s="43"/>
      <c r="R690" s="43"/>
      <c r="V690" s="16" t="s">
        <v>211</v>
      </c>
      <c r="W690" s="16" t="s">
        <v>212</v>
      </c>
      <c r="Y690" t="s">
        <v>213</v>
      </c>
      <c r="AA690" s="16" t="s">
        <v>214</v>
      </c>
      <c r="AB690" s="16" t="s">
        <v>214</v>
      </c>
      <c r="AC690" s="16" t="s">
        <v>215</v>
      </c>
      <c r="AD690" s="16" t="s">
        <v>216</v>
      </c>
    </row>
    <row r="691" spans="1:32" ht="48" customHeight="1">
      <c r="A691" s="69" t="s">
        <v>0</v>
      </c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1" t="s">
        <v>1</v>
      </c>
      <c r="M691" s="71"/>
      <c r="N691" s="71"/>
      <c r="O691" s="71"/>
      <c r="P691" s="71"/>
      <c r="Q691" s="1" t="s">
        <v>2</v>
      </c>
      <c r="R691" s="2" t="s">
        <v>3</v>
      </c>
      <c r="S691" s="3"/>
      <c r="T691" s="3" t="s">
        <v>4</v>
      </c>
      <c r="U691" s="4" t="s">
        <v>5</v>
      </c>
      <c r="V691" s="4" t="s">
        <v>6</v>
      </c>
      <c r="W691" s="4" t="s">
        <v>7</v>
      </c>
      <c r="X691" s="4" t="s">
        <v>8</v>
      </c>
      <c r="Y691" s="4" t="s">
        <v>9</v>
      </c>
      <c r="Z691" s="4"/>
      <c r="AA691" s="4" t="s">
        <v>10</v>
      </c>
      <c r="AB691" s="4" t="s">
        <v>11</v>
      </c>
      <c r="AC691" s="4" t="s">
        <v>12</v>
      </c>
      <c r="AD691" s="4" t="s">
        <v>13</v>
      </c>
      <c r="AE691" s="4" t="s">
        <v>14</v>
      </c>
      <c r="AF691" s="4" t="s">
        <v>15</v>
      </c>
    </row>
    <row r="692" spans="1:32" s="8" customFormat="1" ht="18" customHeight="1">
      <c r="A692" s="5" t="s">
        <v>16</v>
      </c>
      <c r="B692" s="44">
        <f>B362</f>
        <v>0</v>
      </c>
      <c r="C692" s="45"/>
      <c r="D692" s="45"/>
      <c r="E692" s="6" t="str">
        <f>E362</f>
        <v>Version:1</v>
      </c>
      <c r="F692" s="72" t="s">
        <v>18</v>
      </c>
      <c r="G692" s="74" t="s">
        <v>19</v>
      </c>
      <c r="H692" s="74" t="s">
        <v>20</v>
      </c>
      <c r="I692" s="77" t="s">
        <v>21</v>
      </c>
      <c r="J692" s="62" t="s">
        <v>22</v>
      </c>
      <c r="K692" s="79" t="s">
        <v>23</v>
      </c>
      <c r="L692" s="62" t="s">
        <v>24</v>
      </c>
      <c r="M692" s="56" t="s">
        <v>25</v>
      </c>
      <c r="N692" s="59" t="s">
        <v>26</v>
      </c>
      <c r="O692" s="62" t="s">
        <v>27</v>
      </c>
      <c r="P692" s="65" t="s">
        <v>28</v>
      </c>
      <c r="Q692" s="66" t="s">
        <v>29</v>
      </c>
      <c r="R692" s="68" t="s">
        <v>30</v>
      </c>
      <c r="S692"/>
      <c r="T692" s="7" t="str">
        <f>IF(C725&gt;18,IF(C725=20,Nennweite20,IF(C725=60,U694,IF(C725=50,Nennweite50,IF(C725=25,Nennweite25,IF(C725=32,Nennweite32,IF(C725=40,Nennweite40,"&gt;")))))),IF(C725=8,Nennweite8,IF(C725=6,Nennweite6,IF(C725=10,Nennweite10,IF(C725=18,Nennweite18,IF(C725=16,Nennweite16,IF(C725=12,Nennweite12,"")))))))</f>
        <v/>
      </c>
      <c r="U692" t="s">
        <v>31</v>
      </c>
      <c r="V692" t="s">
        <v>32</v>
      </c>
      <c r="W692" t="s">
        <v>33</v>
      </c>
      <c r="X692" t="s">
        <v>34</v>
      </c>
      <c r="Y692" t="s">
        <v>35</v>
      </c>
      <c r="Z692"/>
      <c r="AA692" t="s">
        <v>36</v>
      </c>
      <c r="AB692" t="s">
        <v>37</v>
      </c>
      <c r="AC692" t="s">
        <v>38</v>
      </c>
      <c r="AD692" t="s">
        <v>39</v>
      </c>
      <c r="AE692" t="s">
        <v>40</v>
      </c>
      <c r="AF692" t="s">
        <v>41</v>
      </c>
    </row>
    <row r="693" spans="1:32" ht="18" customHeight="1">
      <c r="A693" s="5" t="s">
        <v>42</v>
      </c>
      <c r="B693" s="44">
        <f>B363</f>
        <v>0</v>
      </c>
      <c r="C693" s="45"/>
      <c r="D693" s="45"/>
      <c r="E693" s="46"/>
      <c r="F693" s="72"/>
      <c r="G693" s="75"/>
      <c r="H693" s="75"/>
      <c r="I693" s="77"/>
      <c r="J693" s="63"/>
      <c r="K693" s="80"/>
      <c r="L693" s="63"/>
      <c r="M693" s="57"/>
      <c r="N693" s="60"/>
      <c r="O693" s="63"/>
      <c r="P693" s="63"/>
      <c r="Q693" s="66"/>
      <c r="R693" s="66"/>
      <c r="U693" t="s">
        <v>43</v>
      </c>
      <c r="V693" t="s">
        <v>44</v>
      </c>
      <c r="W693" t="s">
        <v>45</v>
      </c>
      <c r="X693" t="s">
        <v>46</v>
      </c>
      <c r="Y693" t="s">
        <v>47</v>
      </c>
      <c r="AA693" t="s">
        <v>48</v>
      </c>
      <c r="AB693" t="s">
        <v>49</v>
      </c>
      <c r="AC693" t="s">
        <v>50</v>
      </c>
      <c r="AD693" t="s">
        <v>51</v>
      </c>
      <c r="AE693" t="s">
        <v>52</v>
      </c>
      <c r="AF693" t="s">
        <v>53</v>
      </c>
    </row>
    <row r="694" spans="1:32" ht="18" customHeight="1" thickBot="1">
      <c r="A694" s="9" t="s">
        <v>54</v>
      </c>
      <c r="B694" s="10" t="s">
        <v>55</v>
      </c>
      <c r="C694" s="10" t="s">
        <v>56</v>
      </c>
      <c r="D694" s="11" t="s">
        <v>57</v>
      </c>
      <c r="E694" s="9" t="s">
        <v>58</v>
      </c>
      <c r="F694" s="73"/>
      <c r="G694" s="76"/>
      <c r="H694" s="76"/>
      <c r="I694" s="78"/>
      <c r="J694" s="64"/>
      <c r="K694" s="81"/>
      <c r="L694" s="64"/>
      <c r="M694" s="58"/>
      <c r="N694" s="61"/>
      <c r="O694" s="64"/>
      <c r="P694" s="64"/>
      <c r="Q694" s="67"/>
      <c r="R694" s="67"/>
      <c r="U694" t="s">
        <v>59</v>
      </c>
      <c r="V694" t="s">
        <v>60</v>
      </c>
      <c r="W694" t="s">
        <v>61</v>
      </c>
      <c r="X694" t="s">
        <v>62</v>
      </c>
      <c r="Y694" t="s">
        <v>63</v>
      </c>
      <c r="AA694" t="s">
        <v>64</v>
      </c>
      <c r="AB694" t="s">
        <v>65</v>
      </c>
      <c r="AC694" t="s">
        <v>66</v>
      </c>
      <c r="AD694" t="s">
        <v>67</v>
      </c>
      <c r="AE694" t="s">
        <v>68</v>
      </c>
      <c r="AF694" t="s">
        <v>69</v>
      </c>
    </row>
    <row r="695" spans="1:32" ht="22.15" customHeight="1">
      <c r="A695" s="12">
        <v>461</v>
      </c>
      <c r="B695" s="13"/>
      <c r="C695" s="13"/>
      <c r="D695" s="13"/>
      <c r="E695" s="13"/>
      <c r="F695" s="14"/>
      <c r="G695" s="15"/>
      <c r="H695" s="15"/>
      <c r="I695" s="24"/>
      <c r="J695" s="17"/>
      <c r="K695" s="18"/>
      <c r="L695" s="19"/>
      <c r="M695" s="31"/>
      <c r="N695" s="21"/>
      <c r="O695" s="30"/>
      <c r="P695" s="30"/>
      <c r="Q695" s="23"/>
      <c r="R695" s="24"/>
      <c r="U695" t="s">
        <v>70</v>
      </c>
      <c r="V695" t="s">
        <v>71</v>
      </c>
      <c r="W695" t="s">
        <v>72</v>
      </c>
      <c r="X695" t="s">
        <v>73</v>
      </c>
      <c r="Y695" t="s">
        <v>74</v>
      </c>
      <c r="AA695" t="s">
        <v>75</v>
      </c>
      <c r="AB695" t="s">
        <v>76</v>
      </c>
      <c r="AC695" t="s">
        <v>77</v>
      </c>
      <c r="AD695" t="s">
        <v>78</v>
      </c>
      <c r="AE695" t="s">
        <v>79</v>
      </c>
    </row>
    <row r="696" spans="1:32" ht="22.15" customHeight="1">
      <c r="A696" s="12">
        <v>462</v>
      </c>
      <c r="B696" s="13"/>
      <c r="C696" s="13"/>
      <c r="D696" s="13"/>
      <c r="E696" s="13"/>
      <c r="F696" s="14"/>
      <c r="G696" s="15"/>
      <c r="H696" s="15"/>
      <c r="I696" s="24"/>
      <c r="J696" s="17"/>
      <c r="K696" s="18"/>
      <c r="L696" s="19"/>
      <c r="M696" s="31"/>
      <c r="N696" s="21"/>
      <c r="O696" s="30"/>
      <c r="P696" s="30"/>
      <c r="Q696" s="23"/>
      <c r="R696" s="24"/>
      <c r="U696" t="s">
        <v>80</v>
      </c>
      <c r="X696" t="s">
        <v>81</v>
      </c>
      <c r="Y696" t="s">
        <v>82</v>
      </c>
      <c r="AA696" t="s">
        <v>83</v>
      </c>
      <c r="AB696" t="s">
        <v>84</v>
      </c>
      <c r="AC696" t="s">
        <v>85</v>
      </c>
      <c r="AD696" t="s">
        <v>86</v>
      </c>
      <c r="AE696" t="s">
        <v>87</v>
      </c>
    </row>
    <row r="697" spans="1:32" ht="22.15" customHeight="1">
      <c r="A697" s="12">
        <v>463</v>
      </c>
      <c r="B697" s="13"/>
      <c r="C697" s="13"/>
      <c r="D697" s="13"/>
      <c r="E697" s="13"/>
      <c r="F697" s="14"/>
      <c r="G697" s="15"/>
      <c r="H697" s="15"/>
      <c r="I697" s="24"/>
      <c r="J697" s="17"/>
      <c r="K697" s="18"/>
      <c r="L697" s="19"/>
      <c r="M697" s="31"/>
      <c r="N697" s="21"/>
      <c r="O697" s="30"/>
      <c r="P697" s="30"/>
      <c r="Q697" s="23"/>
      <c r="R697" s="24"/>
      <c r="U697" t="s">
        <v>88</v>
      </c>
      <c r="V697" t="s">
        <v>89</v>
      </c>
      <c r="W697" t="s">
        <v>90</v>
      </c>
      <c r="X697" t="s">
        <v>91</v>
      </c>
      <c r="Y697" t="s">
        <v>92</v>
      </c>
      <c r="AA697" t="s">
        <v>93</v>
      </c>
      <c r="AB697" t="s">
        <v>94</v>
      </c>
      <c r="AC697" t="s">
        <v>95</v>
      </c>
      <c r="AD697" t="s">
        <v>96</v>
      </c>
      <c r="AE697" t="s">
        <v>97</v>
      </c>
    </row>
    <row r="698" spans="1:32" ht="22.15" customHeight="1">
      <c r="A698" s="12">
        <v>464</v>
      </c>
      <c r="B698" s="12"/>
      <c r="C698" s="13"/>
      <c r="D698" s="13"/>
      <c r="E698" s="13"/>
      <c r="F698" s="14"/>
      <c r="G698" s="15"/>
      <c r="H698" s="15"/>
      <c r="I698" s="24"/>
      <c r="J698" s="17"/>
      <c r="K698" s="18"/>
      <c r="L698" s="19"/>
      <c r="M698" s="31"/>
      <c r="N698" s="21"/>
      <c r="O698" s="30"/>
      <c r="P698" s="30"/>
      <c r="Q698" s="23"/>
      <c r="R698" s="24"/>
      <c r="V698" t="s">
        <v>98</v>
      </c>
      <c r="W698" t="s">
        <v>99</v>
      </c>
    </row>
    <row r="699" spans="1:32" ht="22.15" customHeight="1">
      <c r="A699" s="12">
        <v>465</v>
      </c>
      <c r="B699" s="12"/>
      <c r="C699" s="13"/>
      <c r="D699" s="13"/>
      <c r="E699" s="13"/>
      <c r="F699" s="14"/>
      <c r="G699" s="15"/>
      <c r="H699" s="15"/>
      <c r="I699" s="24"/>
      <c r="J699" s="17"/>
      <c r="K699" s="18"/>
      <c r="L699" s="19"/>
      <c r="M699" s="31"/>
      <c r="N699" s="21"/>
      <c r="O699" s="30"/>
      <c r="P699" s="30"/>
      <c r="Q699" s="23"/>
      <c r="R699" s="24"/>
      <c r="U699" t="s">
        <v>100</v>
      </c>
      <c r="V699" t="s">
        <v>101</v>
      </c>
      <c r="W699" t="s">
        <v>102</v>
      </c>
      <c r="X699" t="s">
        <v>103</v>
      </c>
      <c r="Y699" t="s">
        <v>103</v>
      </c>
      <c r="AA699" t="s">
        <v>104</v>
      </c>
      <c r="AB699" t="s">
        <v>105</v>
      </c>
      <c r="AC699" t="s">
        <v>106</v>
      </c>
      <c r="AD699" t="s">
        <v>40</v>
      </c>
      <c r="AE699" t="s">
        <v>107</v>
      </c>
    </row>
    <row r="700" spans="1:32" ht="22.15" customHeight="1">
      <c r="A700" s="12">
        <v>466</v>
      </c>
      <c r="B700" s="12"/>
      <c r="C700" s="13"/>
      <c r="D700" s="13"/>
      <c r="E700" s="13"/>
      <c r="F700" s="14"/>
      <c r="G700" s="15"/>
      <c r="H700" s="15"/>
      <c r="I700" s="24"/>
      <c r="J700" s="17"/>
      <c r="K700" s="18"/>
      <c r="L700" s="19"/>
      <c r="M700" s="31"/>
      <c r="N700" s="21"/>
      <c r="O700" s="30"/>
      <c r="P700" s="30"/>
      <c r="Q700" s="23"/>
      <c r="R700" s="24"/>
      <c r="X700" t="s">
        <v>108</v>
      </c>
      <c r="Y700" t="s">
        <v>108</v>
      </c>
      <c r="AA700" t="s">
        <v>109</v>
      </c>
      <c r="AB700" t="s">
        <v>110</v>
      </c>
      <c r="AC700" t="s">
        <v>111</v>
      </c>
      <c r="AD700" t="s">
        <v>52</v>
      </c>
    </row>
    <row r="701" spans="1:32" ht="22.15" customHeight="1">
      <c r="A701" s="12">
        <v>467</v>
      </c>
      <c r="B701" s="12"/>
      <c r="C701" s="13"/>
      <c r="D701" s="13"/>
      <c r="E701" s="13"/>
      <c r="F701" s="14"/>
      <c r="G701" s="15"/>
      <c r="H701" s="15"/>
      <c r="I701" s="24"/>
      <c r="J701" s="17"/>
      <c r="K701" s="18"/>
      <c r="L701" s="19"/>
      <c r="M701" s="31"/>
      <c r="N701" s="21"/>
      <c r="O701" s="30"/>
      <c r="P701" s="30"/>
      <c r="Q701" s="23"/>
      <c r="R701" s="24"/>
      <c r="U701" t="s">
        <v>112</v>
      </c>
      <c r="V701" t="s">
        <v>113</v>
      </c>
      <c r="W701" t="s">
        <v>114</v>
      </c>
      <c r="X701" t="s">
        <v>115</v>
      </c>
      <c r="Y701" t="s">
        <v>116</v>
      </c>
      <c r="AA701" t="s">
        <v>117</v>
      </c>
      <c r="AB701" t="s">
        <v>118</v>
      </c>
      <c r="AC701" t="s">
        <v>119</v>
      </c>
      <c r="AD701" t="s">
        <v>68</v>
      </c>
      <c r="AE701" t="s">
        <v>120</v>
      </c>
    </row>
    <row r="702" spans="1:32" ht="22.15" customHeight="1">
      <c r="A702" s="12">
        <v>468</v>
      </c>
      <c r="B702" s="12"/>
      <c r="C702" s="13"/>
      <c r="D702" s="13"/>
      <c r="E702" s="13"/>
      <c r="F702" s="14"/>
      <c r="G702" s="15"/>
      <c r="H702" s="15"/>
      <c r="I702" s="24"/>
      <c r="J702" s="17"/>
      <c r="K702" s="18"/>
      <c r="L702" s="19"/>
      <c r="M702" s="31"/>
      <c r="N702" s="21"/>
      <c r="O702" s="30"/>
      <c r="P702" s="30"/>
      <c r="Q702" s="23"/>
      <c r="R702" s="24"/>
      <c r="V702" t="s">
        <v>121</v>
      </c>
      <c r="W702" t="s">
        <v>122</v>
      </c>
      <c r="AE702" t="s">
        <v>123</v>
      </c>
    </row>
    <row r="703" spans="1:32" ht="22.15" customHeight="1">
      <c r="A703" s="12">
        <v>469</v>
      </c>
      <c r="B703" s="12"/>
      <c r="C703" s="13"/>
      <c r="D703" s="13"/>
      <c r="E703" s="13"/>
      <c r="F703" s="14"/>
      <c r="G703" s="15"/>
      <c r="H703" s="15"/>
      <c r="I703" s="24"/>
      <c r="J703" s="17"/>
      <c r="K703" s="18"/>
      <c r="L703" s="19"/>
      <c r="M703" s="31"/>
      <c r="N703" s="21"/>
      <c r="O703" s="30"/>
      <c r="P703" s="30"/>
      <c r="Q703" s="23"/>
      <c r="R703" s="24"/>
      <c r="U703" t="s">
        <v>124</v>
      </c>
      <c r="V703" t="s">
        <v>125</v>
      </c>
      <c r="W703" t="s">
        <v>126</v>
      </c>
      <c r="X703" t="s">
        <v>127</v>
      </c>
      <c r="Y703" t="s">
        <v>128</v>
      </c>
      <c r="AA703" t="s">
        <v>128</v>
      </c>
      <c r="AB703" t="s">
        <v>129</v>
      </c>
      <c r="AC703" t="s">
        <v>130</v>
      </c>
      <c r="AD703" t="s">
        <v>131</v>
      </c>
      <c r="AE703" t="s">
        <v>132</v>
      </c>
    </row>
    <row r="704" spans="1:32" ht="22.15" customHeight="1">
      <c r="A704" s="12">
        <v>470</v>
      </c>
      <c r="B704" s="12"/>
      <c r="C704" s="13"/>
      <c r="D704" s="13"/>
      <c r="E704" s="13"/>
      <c r="F704" s="14"/>
      <c r="G704" s="15"/>
      <c r="H704" s="15"/>
      <c r="I704" s="24"/>
      <c r="J704" s="17"/>
      <c r="K704" s="18"/>
      <c r="L704" s="19"/>
      <c r="M704" s="31"/>
      <c r="N704" s="21"/>
      <c r="O704" s="30"/>
      <c r="P704" s="30"/>
      <c r="Q704" s="23"/>
      <c r="R704" s="24"/>
      <c r="U704" t="s">
        <v>134</v>
      </c>
      <c r="X704" t="s">
        <v>135</v>
      </c>
      <c r="Y704" t="s">
        <v>136</v>
      </c>
      <c r="AA704" t="s">
        <v>136</v>
      </c>
      <c r="AB704" t="s">
        <v>137</v>
      </c>
      <c r="AC704" t="s">
        <v>138</v>
      </c>
      <c r="AD704" t="s">
        <v>139</v>
      </c>
    </row>
    <row r="705" spans="1:30" ht="22.15" customHeight="1">
      <c r="A705" s="12">
        <v>471</v>
      </c>
      <c r="B705" s="12"/>
      <c r="C705" s="13"/>
      <c r="D705" s="13"/>
      <c r="E705" s="13"/>
      <c r="F705" s="14"/>
      <c r="G705" s="15"/>
      <c r="H705" s="15"/>
      <c r="I705" s="24"/>
      <c r="J705" s="17"/>
      <c r="K705" s="18"/>
      <c r="L705" s="19"/>
      <c r="M705" s="31"/>
      <c r="N705" s="21"/>
      <c r="O705" s="30"/>
      <c r="P705" s="30"/>
      <c r="Q705" s="23"/>
      <c r="R705" s="24"/>
      <c r="U705" t="s">
        <v>140</v>
      </c>
      <c r="V705" t="s">
        <v>141</v>
      </c>
      <c r="W705" t="s">
        <v>142</v>
      </c>
      <c r="X705" t="s">
        <v>143</v>
      </c>
      <c r="Y705" t="s">
        <v>144</v>
      </c>
      <c r="AA705" t="s">
        <v>144</v>
      </c>
      <c r="AB705" t="s">
        <v>145</v>
      </c>
      <c r="AC705" t="s">
        <v>146</v>
      </c>
      <c r="AD705" t="s">
        <v>147</v>
      </c>
    </row>
    <row r="706" spans="1:30" ht="22.15" customHeight="1">
      <c r="A706" s="12">
        <v>472</v>
      </c>
      <c r="B706" s="12"/>
      <c r="C706" s="13"/>
      <c r="D706" s="13"/>
      <c r="E706" s="13"/>
      <c r="F706" s="14"/>
      <c r="G706" s="15"/>
      <c r="H706" s="15"/>
      <c r="I706" s="24"/>
      <c r="J706" s="17"/>
      <c r="K706" s="18"/>
      <c r="L706" s="19"/>
      <c r="M706" s="31"/>
      <c r="N706" s="21"/>
      <c r="O706" s="30"/>
      <c r="P706" s="30"/>
      <c r="Q706" s="23"/>
      <c r="R706" s="24"/>
      <c r="V706" t="s">
        <v>148</v>
      </c>
    </row>
    <row r="707" spans="1:30" ht="22.15" customHeight="1">
      <c r="A707" s="12">
        <v>473</v>
      </c>
      <c r="B707" s="12"/>
      <c r="C707" s="13"/>
      <c r="D707" s="13"/>
      <c r="E707" s="13"/>
      <c r="F707" s="14"/>
      <c r="G707" s="15"/>
      <c r="H707" s="15"/>
      <c r="I707" s="24"/>
      <c r="J707" s="17"/>
      <c r="K707" s="18"/>
      <c r="L707" s="19"/>
      <c r="M707" s="31"/>
      <c r="N707" s="21"/>
      <c r="O707" s="30"/>
      <c r="P707" s="30"/>
      <c r="Q707" s="23"/>
      <c r="R707" s="24"/>
      <c r="U707" t="s">
        <v>149</v>
      </c>
      <c r="W707" t="s">
        <v>150</v>
      </c>
      <c r="X707" t="s">
        <v>151</v>
      </c>
      <c r="Y707" t="s">
        <v>127</v>
      </c>
      <c r="AA707" t="s">
        <v>129</v>
      </c>
      <c r="AB707" t="s">
        <v>130</v>
      </c>
      <c r="AC707" t="s">
        <v>78</v>
      </c>
      <c r="AD707" t="s">
        <v>152</v>
      </c>
    </row>
    <row r="708" spans="1:30" ht="22.15" customHeight="1">
      <c r="A708" s="12">
        <v>474</v>
      </c>
      <c r="B708" s="12"/>
      <c r="C708" s="13"/>
      <c r="D708" s="13"/>
      <c r="E708" s="13"/>
      <c r="F708" s="14"/>
      <c r="G708" s="15"/>
      <c r="H708" s="15"/>
      <c r="I708" s="24"/>
      <c r="J708" s="17"/>
      <c r="K708" s="18"/>
      <c r="L708" s="19"/>
      <c r="M708" s="31"/>
      <c r="N708" s="21"/>
      <c r="O708" s="30"/>
      <c r="P708" s="30"/>
      <c r="Q708" s="23"/>
      <c r="R708" s="24"/>
      <c r="U708" t="s">
        <v>153</v>
      </c>
      <c r="V708" t="s">
        <v>154</v>
      </c>
      <c r="W708" t="s">
        <v>155</v>
      </c>
      <c r="X708" t="s">
        <v>156</v>
      </c>
      <c r="Y708" t="s">
        <v>135</v>
      </c>
      <c r="AA708" t="s">
        <v>137</v>
      </c>
      <c r="AB708" t="s">
        <v>138</v>
      </c>
      <c r="AC708" t="s">
        <v>86</v>
      </c>
      <c r="AD708" t="s">
        <v>157</v>
      </c>
    </row>
    <row r="709" spans="1:30" ht="22.15" customHeight="1">
      <c r="A709" s="12">
        <v>475</v>
      </c>
      <c r="B709" s="12"/>
      <c r="C709" s="13"/>
      <c r="D709" s="13"/>
      <c r="E709" s="13"/>
      <c r="F709" s="14"/>
      <c r="G709" s="15"/>
      <c r="H709" s="15"/>
      <c r="I709" s="24"/>
      <c r="J709" s="17"/>
      <c r="K709" s="18"/>
      <c r="L709" s="19"/>
      <c r="M709" s="31"/>
      <c r="N709" s="21"/>
      <c r="O709" s="30"/>
      <c r="P709" s="30"/>
      <c r="Q709" s="23"/>
      <c r="R709" s="24"/>
      <c r="U709" t="s">
        <v>158</v>
      </c>
      <c r="V709" t="s">
        <v>159</v>
      </c>
      <c r="X709" t="s">
        <v>160</v>
      </c>
      <c r="Y709" t="s">
        <v>143</v>
      </c>
      <c r="AA709" t="s">
        <v>145</v>
      </c>
      <c r="AB709" t="s">
        <v>146</v>
      </c>
      <c r="AC709" t="s">
        <v>96</v>
      </c>
      <c r="AD709" t="s">
        <v>161</v>
      </c>
    </row>
    <row r="710" spans="1:30" ht="22.15" customHeight="1">
      <c r="A710" s="12">
        <v>476</v>
      </c>
      <c r="B710" s="12"/>
      <c r="C710" s="13"/>
      <c r="D710" s="13"/>
      <c r="E710" s="13"/>
      <c r="F710" s="14"/>
      <c r="G710" s="15"/>
      <c r="H710" s="15"/>
      <c r="I710" s="24"/>
      <c r="J710" s="17"/>
      <c r="K710" s="18"/>
      <c r="L710" s="19"/>
      <c r="M710" s="31"/>
      <c r="N710" s="21"/>
      <c r="O710" s="30"/>
      <c r="P710" s="30"/>
      <c r="Q710" s="23"/>
      <c r="R710" s="24"/>
      <c r="V710" t="s">
        <v>162</v>
      </c>
      <c r="W710" t="s">
        <v>163</v>
      </c>
    </row>
    <row r="711" spans="1:30" ht="22.15" customHeight="1">
      <c r="A711" s="12">
        <v>477</v>
      </c>
      <c r="B711" s="12"/>
      <c r="C711" s="13"/>
      <c r="D711" s="13"/>
      <c r="E711" s="13"/>
      <c r="F711" s="14"/>
      <c r="G711" s="15"/>
      <c r="H711" s="15"/>
      <c r="I711" s="24"/>
      <c r="J711" s="17"/>
      <c r="K711" s="18"/>
      <c r="L711" s="19"/>
      <c r="M711" s="31"/>
      <c r="N711" s="21"/>
      <c r="O711" s="30"/>
      <c r="P711" s="30"/>
      <c r="Q711" s="23"/>
      <c r="R711" s="24"/>
      <c r="U711" t="s">
        <v>164</v>
      </c>
      <c r="W711" t="s">
        <v>165</v>
      </c>
      <c r="X711" t="s">
        <v>166</v>
      </c>
      <c r="Y711" t="s">
        <v>151</v>
      </c>
      <c r="AA711" t="s">
        <v>151</v>
      </c>
      <c r="AB711" t="s">
        <v>167</v>
      </c>
      <c r="AC711" t="s">
        <v>168</v>
      </c>
      <c r="AD711" t="s">
        <v>169</v>
      </c>
    </row>
    <row r="712" spans="1:30" ht="22.15" customHeight="1">
      <c r="A712" s="12">
        <v>478</v>
      </c>
      <c r="B712" s="12"/>
      <c r="C712" s="13"/>
      <c r="D712" s="13"/>
      <c r="E712" s="13"/>
      <c r="F712" s="14"/>
      <c r="G712" s="15"/>
      <c r="H712" s="15"/>
      <c r="I712" s="24"/>
      <c r="J712" s="17"/>
      <c r="K712" s="18"/>
      <c r="L712" s="19"/>
      <c r="M712" s="31"/>
      <c r="N712" s="21"/>
      <c r="O712" s="30"/>
      <c r="P712" s="30"/>
      <c r="Q712" s="23"/>
      <c r="R712" s="24"/>
      <c r="U712" t="s">
        <v>170</v>
      </c>
      <c r="V712" t="s">
        <v>171</v>
      </c>
      <c r="W712" t="s">
        <v>172</v>
      </c>
      <c r="Y712" t="s">
        <v>156</v>
      </c>
      <c r="AA712" t="s">
        <v>156</v>
      </c>
      <c r="AB712" t="s">
        <v>173</v>
      </c>
      <c r="AC712" t="s">
        <v>174</v>
      </c>
      <c r="AD712" t="s">
        <v>175</v>
      </c>
    </row>
    <row r="713" spans="1:30" ht="22.15" customHeight="1">
      <c r="A713" s="12">
        <v>479</v>
      </c>
      <c r="B713" s="12"/>
      <c r="C713" s="13"/>
      <c r="D713" s="13"/>
      <c r="E713" s="13"/>
      <c r="F713" s="14"/>
      <c r="G713" s="15"/>
      <c r="H713" s="15"/>
      <c r="I713" s="24"/>
      <c r="J713" s="17"/>
      <c r="K713" s="18"/>
      <c r="L713" s="19"/>
      <c r="M713" s="31"/>
      <c r="N713" s="21"/>
      <c r="O713" s="30"/>
      <c r="P713" s="30"/>
      <c r="Q713" s="23"/>
      <c r="R713" s="24"/>
      <c r="U713" t="s">
        <v>176</v>
      </c>
      <c r="V713" t="s">
        <v>177</v>
      </c>
      <c r="X713" t="s">
        <v>178</v>
      </c>
      <c r="Y713" t="s">
        <v>160</v>
      </c>
      <c r="AA713" t="s">
        <v>160</v>
      </c>
      <c r="AB713" t="s">
        <v>179</v>
      </c>
      <c r="AC713" t="s">
        <v>180</v>
      </c>
      <c r="AD713" t="s">
        <v>181</v>
      </c>
    </row>
    <row r="714" spans="1:30" ht="22.15" customHeight="1">
      <c r="A714" s="12">
        <v>480</v>
      </c>
      <c r="B714" s="12"/>
      <c r="C714" s="13"/>
      <c r="D714" s="13"/>
      <c r="E714" s="13"/>
      <c r="F714" s="14"/>
      <c r="G714" s="15"/>
      <c r="H714" s="15"/>
      <c r="I714" s="24"/>
      <c r="J714" s="17"/>
      <c r="K714" s="18"/>
      <c r="L714" s="19"/>
      <c r="M714" s="31"/>
      <c r="N714" s="21"/>
      <c r="O714" s="30"/>
      <c r="P714" s="30"/>
      <c r="Q714" s="23"/>
      <c r="R714" s="24"/>
      <c r="V714" t="s">
        <v>184</v>
      </c>
      <c r="W714" t="s">
        <v>185</v>
      </c>
      <c r="X714" t="s">
        <v>186</v>
      </c>
    </row>
    <row r="715" spans="1:30" ht="18" customHeight="1">
      <c r="A715" s="47" t="s">
        <v>302</v>
      </c>
      <c r="B715" s="48"/>
      <c r="C715" s="48"/>
      <c r="D715" s="48"/>
      <c r="E715" s="49"/>
      <c r="F715" s="50" t="s">
        <v>183</v>
      </c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2"/>
      <c r="U715" t="s">
        <v>320</v>
      </c>
      <c r="W715" t="s">
        <v>321</v>
      </c>
      <c r="X715" t="s">
        <v>322</v>
      </c>
      <c r="Y715" t="s">
        <v>323</v>
      </c>
      <c r="AA715" s="16" t="s">
        <v>167</v>
      </c>
      <c r="AB715" s="16" t="s">
        <v>168</v>
      </c>
      <c r="AC715" s="16" t="s">
        <v>131</v>
      </c>
      <c r="AD715" s="16" t="s">
        <v>253</v>
      </c>
    </row>
    <row r="716" spans="1:30" ht="18" customHeight="1">
      <c r="A716" s="12">
        <v>1</v>
      </c>
      <c r="B716" s="47" t="s">
        <v>187</v>
      </c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9"/>
      <c r="AA716" s="27" t="s">
        <v>188</v>
      </c>
      <c r="AB716" s="27" t="s">
        <v>189</v>
      </c>
      <c r="AC716" s="27" t="s">
        <v>190</v>
      </c>
    </row>
    <row r="717" spans="1:30" ht="18" customHeight="1">
      <c r="A717" s="23">
        <v>2</v>
      </c>
      <c r="B717" s="53" t="s">
        <v>191</v>
      </c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5"/>
      <c r="U717" t="s">
        <v>192</v>
      </c>
      <c r="V717" s="16" t="s">
        <v>193</v>
      </c>
      <c r="W717" t="s">
        <v>194</v>
      </c>
      <c r="Y717" t="s">
        <v>195</v>
      </c>
      <c r="AA717" s="16" t="s">
        <v>173</v>
      </c>
      <c r="AB717" s="16" t="s">
        <v>174</v>
      </c>
      <c r="AC717" s="16" t="s">
        <v>139</v>
      </c>
      <c r="AD717" s="16" t="s">
        <v>196</v>
      </c>
    </row>
    <row r="718" spans="1:30" ht="18" customHeight="1">
      <c r="A718" s="23">
        <v>3</v>
      </c>
      <c r="B718" s="47" t="s">
        <v>197</v>
      </c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9"/>
      <c r="V718" s="16" t="s">
        <v>198</v>
      </c>
      <c r="X718" s="16" t="s">
        <v>199</v>
      </c>
      <c r="Y718" t="s">
        <v>200</v>
      </c>
      <c r="AA718" s="16" t="s">
        <v>179</v>
      </c>
      <c r="AB718" s="16" t="s">
        <v>180</v>
      </c>
      <c r="AC718" s="16" t="s">
        <v>147</v>
      </c>
      <c r="AD718" s="16" t="s">
        <v>201</v>
      </c>
    </row>
    <row r="719" spans="1:30" ht="18" customHeight="1">
      <c r="A719" s="37" t="s">
        <v>202</v>
      </c>
      <c r="B719" s="38"/>
      <c r="C719" s="39">
        <f>C389</f>
        <v>0</v>
      </c>
      <c r="D719" s="39"/>
      <c r="E719" s="37" t="s">
        <v>203</v>
      </c>
      <c r="F719" s="40"/>
      <c r="G719" s="41">
        <f>G389</f>
        <v>0</v>
      </c>
      <c r="H719" s="42"/>
      <c r="I719" s="42"/>
      <c r="J719" s="42"/>
      <c r="K719" s="28" t="s">
        <v>204</v>
      </c>
      <c r="L719" s="43" t="s">
        <v>205</v>
      </c>
      <c r="M719" s="43"/>
      <c r="N719" s="43"/>
      <c r="O719" s="43"/>
      <c r="P719" s="43"/>
      <c r="Q719" s="43"/>
      <c r="R719" s="43"/>
      <c r="U719" t="s">
        <v>206</v>
      </c>
      <c r="W719" s="16" t="s">
        <v>207</v>
      </c>
      <c r="X719" s="16" t="s">
        <v>208</v>
      </c>
    </row>
    <row r="720" spans="1:30" ht="18" customHeight="1">
      <c r="A720" s="37" t="s">
        <v>209</v>
      </c>
      <c r="B720" s="38"/>
      <c r="C720" s="39">
        <f>C390</f>
        <v>0</v>
      </c>
      <c r="D720" s="39"/>
      <c r="E720" s="37" t="s">
        <v>210</v>
      </c>
      <c r="F720" s="40"/>
      <c r="G720" s="41">
        <f>G390</f>
        <v>0</v>
      </c>
      <c r="H720" s="42"/>
      <c r="I720" s="42"/>
      <c r="J720" s="42"/>
      <c r="K720" s="28" t="s">
        <v>204</v>
      </c>
      <c r="L720" s="43" t="s">
        <v>205</v>
      </c>
      <c r="M720" s="43"/>
      <c r="N720" s="43"/>
      <c r="O720" s="43"/>
      <c r="P720" s="43"/>
      <c r="Q720" s="43"/>
      <c r="R720" s="43"/>
      <c r="V720" s="16" t="s">
        <v>211</v>
      </c>
      <c r="W720" s="16" t="s">
        <v>212</v>
      </c>
      <c r="Y720" t="s">
        <v>213</v>
      </c>
      <c r="AA720" s="16" t="s">
        <v>214</v>
      </c>
      <c r="AB720" s="16" t="s">
        <v>214</v>
      </c>
      <c r="AC720" s="16" t="s">
        <v>215</v>
      </c>
      <c r="AD720" s="16" t="s">
        <v>216</v>
      </c>
    </row>
    <row r="721" spans="1:32" ht="48" customHeight="1">
      <c r="A721" s="69" t="s">
        <v>0</v>
      </c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1" t="s">
        <v>1</v>
      </c>
      <c r="M721" s="71"/>
      <c r="N721" s="71"/>
      <c r="O721" s="71"/>
      <c r="P721" s="71"/>
      <c r="Q721" s="1" t="s">
        <v>2</v>
      </c>
      <c r="R721" s="2" t="s">
        <v>3</v>
      </c>
      <c r="S721" s="3"/>
      <c r="T721" s="3" t="s">
        <v>4</v>
      </c>
      <c r="U721" s="4" t="s">
        <v>5</v>
      </c>
      <c r="V721" s="4" t="s">
        <v>6</v>
      </c>
      <c r="W721" s="4" t="s">
        <v>7</v>
      </c>
      <c r="X721" s="4" t="s">
        <v>8</v>
      </c>
      <c r="Y721" s="4" t="s">
        <v>9</v>
      </c>
      <c r="Z721" s="4"/>
      <c r="AA721" s="4" t="s">
        <v>10</v>
      </c>
      <c r="AB721" s="4" t="s">
        <v>11</v>
      </c>
      <c r="AC721" s="4" t="s">
        <v>12</v>
      </c>
      <c r="AD721" s="4" t="s">
        <v>13</v>
      </c>
      <c r="AE721" s="4" t="s">
        <v>14</v>
      </c>
      <c r="AF721" s="4" t="s">
        <v>15</v>
      </c>
    </row>
    <row r="722" spans="1:32" s="8" customFormat="1" ht="18" customHeight="1">
      <c r="A722" s="5" t="s">
        <v>16</v>
      </c>
      <c r="B722" s="44">
        <f>B362</f>
        <v>0</v>
      </c>
      <c r="C722" s="45"/>
      <c r="D722" s="45"/>
      <c r="E722" s="6" t="str">
        <f>E362</f>
        <v>Version:1</v>
      </c>
      <c r="F722" s="72" t="s">
        <v>18</v>
      </c>
      <c r="G722" s="74" t="s">
        <v>19</v>
      </c>
      <c r="H722" s="74" t="s">
        <v>20</v>
      </c>
      <c r="I722" s="77" t="s">
        <v>21</v>
      </c>
      <c r="J722" s="62" t="s">
        <v>22</v>
      </c>
      <c r="K722" s="79" t="s">
        <v>23</v>
      </c>
      <c r="L722" s="62" t="s">
        <v>24</v>
      </c>
      <c r="M722" s="56" t="s">
        <v>25</v>
      </c>
      <c r="N722" s="59" t="s">
        <v>26</v>
      </c>
      <c r="O722" s="62" t="s">
        <v>27</v>
      </c>
      <c r="P722" s="65" t="s">
        <v>28</v>
      </c>
      <c r="Q722" s="66" t="s">
        <v>29</v>
      </c>
      <c r="R722" s="68" t="s">
        <v>30</v>
      </c>
      <c r="S722"/>
      <c r="T722" s="7" t="str">
        <f>IF(C755&gt;18,IF(C755=20,Nennweite20,IF(C755=60,U724,IF(C755=50,Nennweite50,IF(C755=25,Nennweite25,IF(C755=32,Nennweite32,IF(C755=40,Nennweite40,"&gt;")))))),IF(C755=8,Nennweite8,IF(C755=6,Nennweite6,IF(C755=10,Nennweite10,IF(C755=18,Nennweite18,IF(C755=16,Nennweite16,IF(C755=12,Nennweite12,"")))))))</f>
        <v/>
      </c>
      <c r="U722" t="s">
        <v>31</v>
      </c>
      <c r="V722" t="s">
        <v>32</v>
      </c>
      <c r="W722" t="s">
        <v>33</v>
      </c>
      <c r="X722" t="s">
        <v>34</v>
      </c>
      <c r="Y722" t="s">
        <v>35</v>
      </c>
      <c r="Z722"/>
      <c r="AA722" t="s">
        <v>36</v>
      </c>
      <c r="AB722" t="s">
        <v>37</v>
      </c>
      <c r="AC722" t="s">
        <v>38</v>
      </c>
      <c r="AD722" t="s">
        <v>39</v>
      </c>
      <c r="AE722" t="s">
        <v>40</v>
      </c>
      <c r="AF722" t="s">
        <v>41</v>
      </c>
    </row>
    <row r="723" spans="1:32" ht="18" customHeight="1">
      <c r="A723" s="5" t="s">
        <v>42</v>
      </c>
      <c r="B723" s="44">
        <f>B363</f>
        <v>0</v>
      </c>
      <c r="C723" s="45"/>
      <c r="D723" s="45"/>
      <c r="E723" s="46"/>
      <c r="F723" s="72"/>
      <c r="G723" s="75"/>
      <c r="H723" s="75"/>
      <c r="I723" s="77"/>
      <c r="J723" s="63"/>
      <c r="K723" s="80"/>
      <c r="L723" s="63"/>
      <c r="M723" s="57"/>
      <c r="N723" s="60"/>
      <c r="O723" s="63"/>
      <c r="P723" s="63"/>
      <c r="Q723" s="66"/>
      <c r="R723" s="66"/>
      <c r="U723" t="s">
        <v>43</v>
      </c>
      <c r="V723" t="s">
        <v>44</v>
      </c>
      <c r="W723" t="s">
        <v>45</v>
      </c>
      <c r="X723" t="s">
        <v>46</v>
      </c>
      <c r="Y723" t="s">
        <v>47</v>
      </c>
      <c r="AA723" t="s">
        <v>48</v>
      </c>
      <c r="AB723" t="s">
        <v>49</v>
      </c>
      <c r="AC723" t="s">
        <v>50</v>
      </c>
      <c r="AD723" t="s">
        <v>51</v>
      </c>
      <c r="AE723" t="s">
        <v>52</v>
      </c>
      <c r="AF723" t="s">
        <v>53</v>
      </c>
    </row>
    <row r="724" spans="1:32" ht="18" customHeight="1" thickBot="1">
      <c r="A724" s="9" t="s">
        <v>54</v>
      </c>
      <c r="B724" s="10" t="s">
        <v>55</v>
      </c>
      <c r="C724" s="10" t="s">
        <v>56</v>
      </c>
      <c r="D724" s="11" t="s">
        <v>57</v>
      </c>
      <c r="E724" s="9" t="s">
        <v>58</v>
      </c>
      <c r="F724" s="73"/>
      <c r="G724" s="76"/>
      <c r="H724" s="76"/>
      <c r="I724" s="78"/>
      <c r="J724" s="64"/>
      <c r="K724" s="81"/>
      <c r="L724" s="64"/>
      <c r="M724" s="58"/>
      <c r="N724" s="61"/>
      <c r="O724" s="64"/>
      <c r="P724" s="64"/>
      <c r="Q724" s="67"/>
      <c r="R724" s="67"/>
      <c r="U724" t="s">
        <v>59</v>
      </c>
      <c r="V724" t="s">
        <v>60</v>
      </c>
      <c r="W724" t="s">
        <v>61</v>
      </c>
      <c r="X724" t="s">
        <v>62</v>
      </c>
      <c r="Y724" t="s">
        <v>63</v>
      </c>
      <c r="AA724" t="s">
        <v>64</v>
      </c>
      <c r="AB724" t="s">
        <v>65</v>
      </c>
      <c r="AC724" t="s">
        <v>66</v>
      </c>
      <c r="AD724" t="s">
        <v>67</v>
      </c>
      <c r="AE724" t="s">
        <v>68</v>
      </c>
      <c r="AF724" t="s">
        <v>69</v>
      </c>
    </row>
    <row r="725" spans="1:32" ht="22.15" customHeight="1">
      <c r="A725" s="12">
        <v>481</v>
      </c>
      <c r="B725" s="13"/>
      <c r="C725" s="13"/>
      <c r="D725" s="13"/>
      <c r="E725" s="13"/>
      <c r="F725" s="14"/>
      <c r="G725" s="15"/>
      <c r="H725" s="15"/>
      <c r="I725" s="24"/>
      <c r="J725" s="17"/>
      <c r="K725" s="18"/>
      <c r="L725" s="19"/>
      <c r="M725" s="31"/>
      <c r="N725" s="21"/>
      <c r="O725" s="30"/>
      <c r="P725" s="30"/>
      <c r="Q725" s="23"/>
      <c r="R725" s="24"/>
      <c r="U725" t="s">
        <v>70</v>
      </c>
      <c r="V725" t="s">
        <v>71</v>
      </c>
      <c r="W725" t="s">
        <v>72</v>
      </c>
      <c r="X725" t="s">
        <v>73</v>
      </c>
      <c r="Y725" t="s">
        <v>74</v>
      </c>
      <c r="AA725" t="s">
        <v>75</v>
      </c>
      <c r="AB725" t="s">
        <v>76</v>
      </c>
      <c r="AC725" t="s">
        <v>77</v>
      </c>
      <c r="AD725" t="s">
        <v>78</v>
      </c>
      <c r="AE725" t="s">
        <v>79</v>
      </c>
    </row>
    <row r="726" spans="1:32" ht="22.15" customHeight="1">
      <c r="A726" s="12">
        <v>482</v>
      </c>
      <c r="B726" s="13"/>
      <c r="C726" s="13"/>
      <c r="D726" s="13"/>
      <c r="E726" s="13"/>
      <c r="F726" s="14"/>
      <c r="G726" s="15"/>
      <c r="H726" s="15"/>
      <c r="I726" s="24"/>
      <c r="J726" s="17"/>
      <c r="K726" s="18"/>
      <c r="L726" s="19"/>
      <c r="M726" s="31"/>
      <c r="N726" s="21"/>
      <c r="O726" s="30"/>
      <c r="P726" s="30"/>
      <c r="Q726" s="23"/>
      <c r="R726" s="24"/>
      <c r="U726" t="s">
        <v>80</v>
      </c>
      <c r="X726" t="s">
        <v>81</v>
      </c>
      <c r="Y726" t="s">
        <v>82</v>
      </c>
      <c r="AA726" t="s">
        <v>83</v>
      </c>
      <c r="AB726" t="s">
        <v>84</v>
      </c>
      <c r="AC726" t="s">
        <v>85</v>
      </c>
      <c r="AD726" t="s">
        <v>86</v>
      </c>
      <c r="AE726" t="s">
        <v>87</v>
      </c>
    </row>
    <row r="727" spans="1:32" ht="22.15" customHeight="1">
      <c r="A727" s="12">
        <v>483</v>
      </c>
      <c r="B727" s="13"/>
      <c r="C727" s="13"/>
      <c r="D727" s="13"/>
      <c r="E727" s="13"/>
      <c r="F727" s="14"/>
      <c r="G727" s="15"/>
      <c r="H727" s="15"/>
      <c r="I727" s="24"/>
      <c r="J727" s="17"/>
      <c r="K727" s="18"/>
      <c r="L727" s="19"/>
      <c r="M727" s="31"/>
      <c r="N727" s="21"/>
      <c r="O727" s="30"/>
      <c r="P727" s="30"/>
      <c r="Q727" s="23"/>
      <c r="R727" s="24"/>
      <c r="U727" t="s">
        <v>88</v>
      </c>
      <c r="V727" t="s">
        <v>89</v>
      </c>
      <c r="W727" t="s">
        <v>90</v>
      </c>
      <c r="X727" t="s">
        <v>91</v>
      </c>
      <c r="Y727" t="s">
        <v>92</v>
      </c>
      <c r="AA727" t="s">
        <v>93</v>
      </c>
      <c r="AB727" t="s">
        <v>94</v>
      </c>
      <c r="AC727" t="s">
        <v>95</v>
      </c>
      <c r="AD727" t="s">
        <v>96</v>
      </c>
      <c r="AE727" t="s">
        <v>97</v>
      </c>
    </row>
    <row r="728" spans="1:32" ht="22.15" customHeight="1">
      <c r="A728" s="12">
        <v>484</v>
      </c>
      <c r="B728" s="12"/>
      <c r="C728" s="13"/>
      <c r="D728" s="13"/>
      <c r="E728" s="13"/>
      <c r="F728" s="14"/>
      <c r="G728" s="15"/>
      <c r="H728" s="15"/>
      <c r="I728" s="24"/>
      <c r="J728" s="17"/>
      <c r="K728" s="18"/>
      <c r="L728" s="19"/>
      <c r="M728" s="31"/>
      <c r="N728" s="21"/>
      <c r="O728" s="30"/>
      <c r="P728" s="30"/>
      <c r="Q728" s="23"/>
      <c r="R728" s="24"/>
      <c r="V728" t="s">
        <v>98</v>
      </c>
      <c r="W728" t="s">
        <v>99</v>
      </c>
    </row>
    <row r="729" spans="1:32" ht="22.15" customHeight="1">
      <c r="A729" s="12">
        <v>485</v>
      </c>
      <c r="B729" s="12"/>
      <c r="C729" s="13"/>
      <c r="D729" s="13"/>
      <c r="E729" s="13"/>
      <c r="F729" s="14"/>
      <c r="G729" s="15"/>
      <c r="H729" s="15"/>
      <c r="I729" s="24"/>
      <c r="J729" s="17"/>
      <c r="K729" s="18"/>
      <c r="L729" s="19"/>
      <c r="M729" s="31"/>
      <c r="N729" s="21"/>
      <c r="O729" s="30"/>
      <c r="P729" s="30"/>
      <c r="Q729" s="23"/>
      <c r="R729" s="24"/>
      <c r="U729" t="s">
        <v>100</v>
      </c>
      <c r="V729" t="s">
        <v>101</v>
      </c>
      <c r="W729" t="s">
        <v>102</v>
      </c>
      <c r="X729" t="s">
        <v>103</v>
      </c>
      <c r="Y729" t="s">
        <v>103</v>
      </c>
      <c r="AA729" t="s">
        <v>104</v>
      </c>
      <c r="AB729" t="s">
        <v>105</v>
      </c>
      <c r="AC729" t="s">
        <v>106</v>
      </c>
      <c r="AD729" t="s">
        <v>40</v>
      </c>
      <c r="AE729" t="s">
        <v>107</v>
      </c>
    </row>
    <row r="730" spans="1:32" ht="22.15" customHeight="1">
      <c r="A730" s="12">
        <v>486</v>
      </c>
      <c r="B730" s="12"/>
      <c r="C730" s="13"/>
      <c r="D730" s="13"/>
      <c r="E730" s="13"/>
      <c r="F730" s="14"/>
      <c r="G730" s="15"/>
      <c r="H730" s="15"/>
      <c r="I730" s="24"/>
      <c r="J730" s="17"/>
      <c r="K730" s="18"/>
      <c r="L730" s="19"/>
      <c r="M730" s="31"/>
      <c r="N730" s="21"/>
      <c r="O730" s="30"/>
      <c r="P730" s="30"/>
      <c r="Q730" s="23"/>
      <c r="R730" s="24"/>
      <c r="X730" t="s">
        <v>108</v>
      </c>
      <c r="Y730" t="s">
        <v>108</v>
      </c>
      <c r="AA730" t="s">
        <v>109</v>
      </c>
      <c r="AB730" t="s">
        <v>110</v>
      </c>
      <c r="AC730" t="s">
        <v>111</v>
      </c>
      <c r="AD730" t="s">
        <v>52</v>
      </c>
    </row>
    <row r="731" spans="1:32" ht="22.15" customHeight="1">
      <c r="A731" s="12">
        <v>487</v>
      </c>
      <c r="B731" s="12"/>
      <c r="C731" s="13"/>
      <c r="D731" s="13"/>
      <c r="E731" s="13"/>
      <c r="F731" s="14"/>
      <c r="G731" s="15"/>
      <c r="H731" s="15"/>
      <c r="I731" s="24"/>
      <c r="J731" s="17"/>
      <c r="K731" s="18"/>
      <c r="L731" s="19"/>
      <c r="M731" s="31"/>
      <c r="N731" s="21"/>
      <c r="O731" s="30"/>
      <c r="P731" s="30"/>
      <c r="Q731" s="23"/>
      <c r="R731" s="24"/>
      <c r="U731" t="s">
        <v>112</v>
      </c>
      <c r="V731" t="s">
        <v>113</v>
      </c>
      <c r="W731" t="s">
        <v>114</v>
      </c>
      <c r="X731" t="s">
        <v>115</v>
      </c>
      <c r="Y731" t="s">
        <v>116</v>
      </c>
      <c r="AA731" t="s">
        <v>117</v>
      </c>
      <c r="AB731" t="s">
        <v>118</v>
      </c>
      <c r="AC731" t="s">
        <v>119</v>
      </c>
      <c r="AD731" t="s">
        <v>68</v>
      </c>
      <c r="AE731" t="s">
        <v>120</v>
      </c>
    </row>
    <row r="732" spans="1:32" ht="22.15" customHeight="1">
      <c r="A732" s="12">
        <v>488</v>
      </c>
      <c r="B732" s="12"/>
      <c r="C732" s="13"/>
      <c r="D732" s="13"/>
      <c r="E732" s="13"/>
      <c r="F732" s="14"/>
      <c r="G732" s="15"/>
      <c r="H732" s="15"/>
      <c r="I732" s="24"/>
      <c r="J732" s="17"/>
      <c r="K732" s="18"/>
      <c r="L732" s="19"/>
      <c r="M732" s="31"/>
      <c r="N732" s="21"/>
      <c r="O732" s="30"/>
      <c r="P732" s="30"/>
      <c r="Q732" s="23"/>
      <c r="R732" s="24"/>
      <c r="V732" t="s">
        <v>121</v>
      </c>
      <c r="W732" t="s">
        <v>122</v>
      </c>
      <c r="AE732" t="s">
        <v>123</v>
      </c>
    </row>
    <row r="733" spans="1:32" ht="22.15" customHeight="1">
      <c r="A733" s="12">
        <v>489</v>
      </c>
      <c r="B733" s="12"/>
      <c r="C733" s="13"/>
      <c r="D733" s="13"/>
      <c r="E733" s="13"/>
      <c r="F733" s="14"/>
      <c r="G733" s="15"/>
      <c r="H733" s="15"/>
      <c r="I733" s="24"/>
      <c r="J733" s="17"/>
      <c r="K733" s="18"/>
      <c r="L733" s="19"/>
      <c r="M733" s="31"/>
      <c r="N733" s="21"/>
      <c r="O733" s="30"/>
      <c r="P733" s="30"/>
      <c r="Q733" s="23"/>
      <c r="R733" s="24"/>
      <c r="U733" t="s">
        <v>124</v>
      </c>
      <c r="V733" t="s">
        <v>125</v>
      </c>
      <c r="W733" t="s">
        <v>126</v>
      </c>
      <c r="X733" t="s">
        <v>127</v>
      </c>
      <c r="Y733" t="s">
        <v>128</v>
      </c>
      <c r="AA733" t="s">
        <v>128</v>
      </c>
      <c r="AB733" t="s">
        <v>129</v>
      </c>
      <c r="AC733" t="s">
        <v>130</v>
      </c>
      <c r="AD733" t="s">
        <v>131</v>
      </c>
      <c r="AE733" t="s">
        <v>132</v>
      </c>
    </row>
    <row r="734" spans="1:32" ht="22.15" customHeight="1">
      <c r="A734" s="12">
        <v>490</v>
      </c>
      <c r="B734" s="12"/>
      <c r="C734" s="13"/>
      <c r="D734" s="13"/>
      <c r="E734" s="13"/>
      <c r="F734" s="14"/>
      <c r="G734" s="15"/>
      <c r="H734" s="15"/>
      <c r="I734" s="24"/>
      <c r="J734" s="17"/>
      <c r="K734" s="18"/>
      <c r="L734" s="19"/>
      <c r="M734" s="31"/>
      <c r="N734" s="21"/>
      <c r="O734" s="30"/>
      <c r="P734" s="30"/>
      <c r="Q734" s="23"/>
      <c r="R734" s="24"/>
      <c r="U734" t="s">
        <v>134</v>
      </c>
      <c r="X734" t="s">
        <v>135</v>
      </c>
      <c r="Y734" t="s">
        <v>136</v>
      </c>
      <c r="AA734" t="s">
        <v>136</v>
      </c>
      <c r="AB734" t="s">
        <v>137</v>
      </c>
      <c r="AC734" t="s">
        <v>138</v>
      </c>
      <c r="AD734" t="s">
        <v>139</v>
      </c>
    </row>
    <row r="735" spans="1:32" ht="22.15" customHeight="1">
      <c r="A735" s="12">
        <v>491</v>
      </c>
      <c r="B735" s="12"/>
      <c r="C735" s="13"/>
      <c r="D735" s="13"/>
      <c r="E735" s="13"/>
      <c r="F735" s="14"/>
      <c r="G735" s="15"/>
      <c r="H735" s="15"/>
      <c r="I735" s="24"/>
      <c r="J735" s="17"/>
      <c r="K735" s="18"/>
      <c r="L735" s="19"/>
      <c r="M735" s="31"/>
      <c r="N735" s="21"/>
      <c r="O735" s="30"/>
      <c r="P735" s="30"/>
      <c r="Q735" s="23"/>
      <c r="R735" s="24"/>
      <c r="U735" t="s">
        <v>140</v>
      </c>
      <c r="V735" t="s">
        <v>141</v>
      </c>
      <c r="W735" t="s">
        <v>142</v>
      </c>
      <c r="X735" t="s">
        <v>143</v>
      </c>
      <c r="Y735" t="s">
        <v>144</v>
      </c>
      <c r="AA735" t="s">
        <v>144</v>
      </c>
      <c r="AB735" t="s">
        <v>145</v>
      </c>
      <c r="AC735" t="s">
        <v>146</v>
      </c>
      <c r="AD735" t="s">
        <v>147</v>
      </c>
    </row>
    <row r="736" spans="1:32" ht="22.15" customHeight="1">
      <c r="A736" s="12">
        <v>492</v>
      </c>
      <c r="B736" s="12"/>
      <c r="C736" s="13"/>
      <c r="D736" s="13"/>
      <c r="E736" s="13"/>
      <c r="F736" s="14"/>
      <c r="G736" s="15"/>
      <c r="H736" s="15"/>
      <c r="I736" s="24"/>
      <c r="J736" s="17"/>
      <c r="K736" s="18"/>
      <c r="L736" s="19"/>
      <c r="M736" s="31"/>
      <c r="N736" s="21"/>
      <c r="O736" s="30"/>
      <c r="P736" s="30"/>
      <c r="Q736" s="23"/>
      <c r="R736" s="24"/>
      <c r="V736" t="s">
        <v>148</v>
      </c>
    </row>
    <row r="737" spans="1:32" ht="22.15" customHeight="1">
      <c r="A737" s="12">
        <v>493</v>
      </c>
      <c r="B737" s="12"/>
      <c r="C737" s="13"/>
      <c r="D737" s="13"/>
      <c r="E737" s="13"/>
      <c r="F737" s="14"/>
      <c r="G737" s="15"/>
      <c r="H737" s="15"/>
      <c r="I737" s="24"/>
      <c r="J737" s="17"/>
      <c r="K737" s="18"/>
      <c r="L737" s="19"/>
      <c r="M737" s="31"/>
      <c r="N737" s="21"/>
      <c r="O737" s="30"/>
      <c r="P737" s="30"/>
      <c r="Q737" s="23"/>
      <c r="R737" s="24"/>
      <c r="U737" t="s">
        <v>149</v>
      </c>
      <c r="W737" t="s">
        <v>150</v>
      </c>
      <c r="X737" t="s">
        <v>151</v>
      </c>
      <c r="Y737" t="s">
        <v>127</v>
      </c>
      <c r="AA737" t="s">
        <v>129</v>
      </c>
      <c r="AB737" t="s">
        <v>130</v>
      </c>
      <c r="AC737" t="s">
        <v>78</v>
      </c>
      <c r="AD737" t="s">
        <v>152</v>
      </c>
    </row>
    <row r="738" spans="1:32" ht="22.15" customHeight="1">
      <c r="A738" s="12">
        <v>494</v>
      </c>
      <c r="B738" s="12"/>
      <c r="C738" s="13"/>
      <c r="D738" s="13"/>
      <c r="E738" s="13"/>
      <c r="F738" s="14"/>
      <c r="G738" s="15"/>
      <c r="H738" s="15"/>
      <c r="I738" s="24"/>
      <c r="J738" s="17"/>
      <c r="K738" s="18"/>
      <c r="L738" s="19"/>
      <c r="M738" s="31"/>
      <c r="N738" s="21"/>
      <c r="O738" s="30"/>
      <c r="P738" s="30"/>
      <c r="Q738" s="23"/>
      <c r="R738" s="24"/>
      <c r="U738" t="s">
        <v>153</v>
      </c>
      <c r="V738" t="s">
        <v>154</v>
      </c>
      <c r="W738" t="s">
        <v>155</v>
      </c>
      <c r="X738" t="s">
        <v>156</v>
      </c>
      <c r="Y738" t="s">
        <v>135</v>
      </c>
      <c r="AA738" t="s">
        <v>137</v>
      </c>
      <c r="AB738" t="s">
        <v>138</v>
      </c>
      <c r="AC738" t="s">
        <v>86</v>
      </c>
      <c r="AD738" t="s">
        <v>157</v>
      </c>
    </row>
    <row r="739" spans="1:32" ht="22.15" customHeight="1">
      <c r="A739" s="12">
        <v>495</v>
      </c>
      <c r="B739" s="12"/>
      <c r="C739" s="13"/>
      <c r="D739" s="13"/>
      <c r="E739" s="13"/>
      <c r="F739" s="14"/>
      <c r="G739" s="15"/>
      <c r="H739" s="15"/>
      <c r="I739" s="24"/>
      <c r="J739" s="17"/>
      <c r="K739" s="18"/>
      <c r="L739" s="19"/>
      <c r="M739" s="31"/>
      <c r="N739" s="21"/>
      <c r="O739" s="30"/>
      <c r="P739" s="30"/>
      <c r="Q739" s="23"/>
      <c r="R739" s="24"/>
      <c r="U739" t="s">
        <v>158</v>
      </c>
      <c r="V739" t="s">
        <v>159</v>
      </c>
      <c r="X739" t="s">
        <v>160</v>
      </c>
      <c r="Y739" t="s">
        <v>143</v>
      </c>
      <c r="AA739" t="s">
        <v>145</v>
      </c>
      <c r="AB739" t="s">
        <v>146</v>
      </c>
      <c r="AC739" t="s">
        <v>96</v>
      </c>
      <c r="AD739" t="s">
        <v>161</v>
      </c>
    </row>
    <row r="740" spans="1:32" ht="22.15" customHeight="1">
      <c r="A740" s="12">
        <v>496</v>
      </c>
      <c r="B740" s="12"/>
      <c r="C740" s="13"/>
      <c r="D740" s="13"/>
      <c r="E740" s="13"/>
      <c r="F740" s="14"/>
      <c r="G740" s="15"/>
      <c r="H740" s="15"/>
      <c r="I740" s="24"/>
      <c r="J740" s="17"/>
      <c r="K740" s="18"/>
      <c r="L740" s="19"/>
      <c r="M740" s="31"/>
      <c r="N740" s="21"/>
      <c r="O740" s="30"/>
      <c r="P740" s="30"/>
      <c r="Q740" s="23"/>
      <c r="R740" s="24"/>
      <c r="V740" t="s">
        <v>162</v>
      </c>
      <c r="W740" t="s">
        <v>163</v>
      </c>
    </row>
    <row r="741" spans="1:32" ht="22.15" customHeight="1">
      <c r="A741" s="12">
        <v>497</v>
      </c>
      <c r="B741" s="12"/>
      <c r="C741" s="13"/>
      <c r="D741" s="13"/>
      <c r="E741" s="13"/>
      <c r="F741" s="14"/>
      <c r="G741" s="15"/>
      <c r="H741" s="15"/>
      <c r="I741" s="24"/>
      <c r="J741" s="17"/>
      <c r="K741" s="18"/>
      <c r="L741" s="19"/>
      <c r="M741" s="31"/>
      <c r="N741" s="21"/>
      <c r="O741" s="30"/>
      <c r="P741" s="30"/>
      <c r="Q741" s="23"/>
      <c r="R741" s="24"/>
      <c r="U741" t="s">
        <v>164</v>
      </c>
      <c r="W741" t="s">
        <v>165</v>
      </c>
      <c r="X741" t="s">
        <v>166</v>
      </c>
      <c r="Y741" t="s">
        <v>151</v>
      </c>
      <c r="AA741" t="s">
        <v>151</v>
      </c>
      <c r="AB741" t="s">
        <v>167</v>
      </c>
      <c r="AC741" t="s">
        <v>168</v>
      </c>
      <c r="AD741" t="s">
        <v>169</v>
      </c>
    </row>
    <row r="742" spans="1:32" ht="22.15" customHeight="1">
      <c r="A742" s="12">
        <v>498</v>
      </c>
      <c r="B742" s="12"/>
      <c r="C742" s="13"/>
      <c r="D742" s="13"/>
      <c r="E742" s="13"/>
      <c r="F742" s="14"/>
      <c r="G742" s="15"/>
      <c r="H742" s="15"/>
      <c r="I742" s="24"/>
      <c r="J742" s="17"/>
      <c r="K742" s="18"/>
      <c r="L742" s="19"/>
      <c r="M742" s="31"/>
      <c r="N742" s="21"/>
      <c r="O742" s="30"/>
      <c r="P742" s="30"/>
      <c r="Q742" s="23"/>
      <c r="R742" s="24"/>
      <c r="U742" t="s">
        <v>170</v>
      </c>
      <c r="V742" t="s">
        <v>171</v>
      </c>
      <c r="W742" t="s">
        <v>172</v>
      </c>
      <c r="Y742" t="s">
        <v>156</v>
      </c>
      <c r="AA742" t="s">
        <v>156</v>
      </c>
      <c r="AB742" t="s">
        <v>173</v>
      </c>
      <c r="AC742" t="s">
        <v>174</v>
      </c>
      <c r="AD742" t="s">
        <v>175</v>
      </c>
    </row>
    <row r="743" spans="1:32" ht="22.15" customHeight="1">
      <c r="A743" s="12">
        <v>499</v>
      </c>
      <c r="B743" s="12"/>
      <c r="C743" s="13"/>
      <c r="D743" s="13"/>
      <c r="E743" s="13"/>
      <c r="F743" s="14"/>
      <c r="G743" s="15"/>
      <c r="H743" s="15"/>
      <c r="I743" s="24"/>
      <c r="J743" s="17"/>
      <c r="K743" s="18"/>
      <c r="L743" s="19"/>
      <c r="M743" s="31"/>
      <c r="N743" s="21"/>
      <c r="O743" s="30"/>
      <c r="P743" s="30"/>
      <c r="Q743" s="23"/>
      <c r="R743" s="24"/>
      <c r="U743" t="s">
        <v>176</v>
      </c>
      <c r="V743" t="s">
        <v>177</v>
      </c>
      <c r="X743" t="s">
        <v>178</v>
      </c>
      <c r="Y743" t="s">
        <v>160</v>
      </c>
      <c r="AA743" t="s">
        <v>160</v>
      </c>
      <c r="AB743" t="s">
        <v>179</v>
      </c>
      <c r="AC743" t="s">
        <v>180</v>
      </c>
      <c r="AD743" t="s">
        <v>181</v>
      </c>
    </row>
    <row r="744" spans="1:32" ht="22.15" customHeight="1">
      <c r="A744" s="12">
        <v>500</v>
      </c>
      <c r="B744" s="12"/>
      <c r="C744" s="13"/>
      <c r="D744" s="13"/>
      <c r="E744" s="13"/>
      <c r="F744" s="14"/>
      <c r="G744" s="15"/>
      <c r="H744" s="15"/>
      <c r="I744" s="24"/>
      <c r="J744" s="17"/>
      <c r="K744" s="18"/>
      <c r="L744" s="19"/>
      <c r="M744" s="31"/>
      <c r="N744" s="21"/>
      <c r="O744" s="30"/>
      <c r="P744" s="30"/>
      <c r="Q744" s="23"/>
      <c r="R744" s="24"/>
      <c r="V744" t="s">
        <v>184</v>
      </c>
      <c r="W744" t="s">
        <v>185</v>
      </c>
      <c r="X744" t="s">
        <v>186</v>
      </c>
    </row>
    <row r="745" spans="1:32" ht="18" customHeight="1">
      <c r="A745" s="47" t="s">
        <v>302</v>
      </c>
      <c r="B745" s="48"/>
      <c r="C745" s="48"/>
      <c r="D745" s="48"/>
      <c r="E745" s="49"/>
      <c r="F745" s="50" t="s">
        <v>183</v>
      </c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2"/>
      <c r="U745" t="s">
        <v>320</v>
      </c>
      <c r="W745" t="s">
        <v>321</v>
      </c>
      <c r="X745" t="s">
        <v>322</v>
      </c>
      <c r="Y745" t="s">
        <v>323</v>
      </c>
      <c r="AA745" s="16" t="s">
        <v>167</v>
      </c>
      <c r="AB745" s="16" t="s">
        <v>168</v>
      </c>
      <c r="AC745" s="16" t="s">
        <v>131</v>
      </c>
      <c r="AD745" s="16" t="s">
        <v>253</v>
      </c>
    </row>
    <row r="746" spans="1:32" ht="18" customHeight="1">
      <c r="A746" s="12">
        <v>1</v>
      </c>
      <c r="B746" s="47" t="s">
        <v>187</v>
      </c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9"/>
      <c r="AA746" s="27" t="s">
        <v>188</v>
      </c>
      <c r="AB746" s="27" t="s">
        <v>189</v>
      </c>
      <c r="AC746" s="27" t="s">
        <v>190</v>
      </c>
    </row>
    <row r="747" spans="1:32" ht="18" customHeight="1">
      <c r="A747" s="23">
        <v>2</v>
      </c>
      <c r="B747" s="53" t="s">
        <v>191</v>
      </c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5"/>
      <c r="U747" t="s">
        <v>192</v>
      </c>
      <c r="V747" s="16" t="s">
        <v>193</v>
      </c>
      <c r="W747" t="s">
        <v>194</v>
      </c>
      <c r="Y747" t="s">
        <v>195</v>
      </c>
      <c r="AA747" s="16" t="s">
        <v>173</v>
      </c>
      <c r="AB747" s="16" t="s">
        <v>174</v>
      </c>
      <c r="AC747" s="16" t="s">
        <v>139</v>
      </c>
      <c r="AD747" s="16" t="s">
        <v>196</v>
      </c>
    </row>
    <row r="748" spans="1:32" ht="18" customHeight="1">
      <c r="A748" s="23">
        <v>3</v>
      </c>
      <c r="B748" s="47" t="s">
        <v>197</v>
      </c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9"/>
      <c r="V748" s="16" t="s">
        <v>198</v>
      </c>
      <c r="X748" s="16" t="s">
        <v>199</v>
      </c>
      <c r="Y748" t="s">
        <v>200</v>
      </c>
      <c r="AA748" s="16" t="s">
        <v>179</v>
      </c>
      <c r="AB748" s="16" t="s">
        <v>180</v>
      </c>
      <c r="AC748" s="16" t="s">
        <v>147</v>
      </c>
      <c r="AD748" s="16" t="s">
        <v>201</v>
      </c>
    </row>
    <row r="749" spans="1:32" ht="18" customHeight="1">
      <c r="A749" s="37" t="s">
        <v>202</v>
      </c>
      <c r="B749" s="38"/>
      <c r="C749" s="39">
        <f>C419</f>
        <v>0</v>
      </c>
      <c r="D749" s="39"/>
      <c r="E749" s="37" t="s">
        <v>203</v>
      </c>
      <c r="F749" s="40"/>
      <c r="G749" s="41">
        <f>G419</f>
        <v>0</v>
      </c>
      <c r="H749" s="42"/>
      <c r="I749" s="42"/>
      <c r="J749" s="42"/>
      <c r="K749" s="28" t="s">
        <v>204</v>
      </c>
      <c r="L749" s="43" t="s">
        <v>205</v>
      </c>
      <c r="M749" s="43"/>
      <c r="N749" s="43"/>
      <c r="O749" s="43"/>
      <c r="P749" s="43"/>
      <c r="Q749" s="43"/>
      <c r="R749" s="43"/>
      <c r="U749" t="s">
        <v>206</v>
      </c>
      <c r="W749" s="16" t="s">
        <v>207</v>
      </c>
      <c r="X749" s="16" t="s">
        <v>208</v>
      </c>
    </row>
    <row r="750" spans="1:32" ht="18" customHeight="1">
      <c r="A750" s="37" t="s">
        <v>209</v>
      </c>
      <c r="B750" s="38"/>
      <c r="C750" s="39">
        <f>C420</f>
        <v>0</v>
      </c>
      <c r="D750" s="39"/>
      <c r="E750" s="37" t="s">
        <v>210</v>
      </c>
      <c r="F750" s="40"/>
      <c r="G750" s="41">
        <f>G420</f>
        <v>0</v>
      </c>
      <c r="H750" s="42"/>
      <c r="I750" s="42"/>
      <c r="J750" s="42"/>
      <c r="K750" s="28" t="s">
        <v>204</v>
      </c>
      <c r="L750" s="43" t="s">
        <v>205</v>
      </c>
      <c r="M750" s="43"/>
      <c r="N750" s="43"/>
      <c r="O750" s="43"/>
      <c r="P750" s="43"/>
      <c r="Q750" s="43"/>
      <c r="R750" s="43"/>
      <c r="V750" s="16" t="s">
        <v>211</v>
      </c>
      <c r="W750" s="16" t="s">
        <v>212</v>
      </c>
      <c r="Y750" t="s">
        <v>213</v>
      </c>
      <c r="AA750" s="16" t="s">
        <v>214</v>
      </c>
      <c r="AB750" s="16" t="s">
        <v>214</v>
      </c>
      <c r="AC750" s="16" t="s">
        <v>215</v>
      </c>
      <c r="AD750" s="16" t="s">
        <v>216</v>
      </c>
    </row>
    <row r="751" spans="1:32" ht="48" customHeight="1">
      <c r="A751" s="69" t="s">
        <v>0</v>
      </c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1" t="s">
        <v>1</v>
      </c>
      <c r="M751" s="71"/>
      <c r="N751" s="71"/>
      <c r="O751" s="71"/>
      <c r="P751" s="71"/>
      <c r="Q751" s="1" t="s">
        <v>2</v>
      </c>
      <c r="R751" s="2" t="s">
        <v>3</v>
      </c>
      <c r="S751" s="3"/>
      <c r="T751" s="3" t="s">
        <v>4</v>
      </c>
      <c r="U751" s="4" t="s">
        <v>5</v>
      </c>
      <c r="V751" s="4" t="s">
        <v>6</v>
      </c>
      <c r="W751" s="4" t="s">
        <v>7</v>
      </c>
      <c r="X751" s="4" t="s">
        <v>8</v>
      </c>
      <c r="Y751" s="4" t="s">
        <v>9</v>
      </c>
      <c r="Z751" s="4"/>
      <c r="AA751" s="4" t="s">
        <v>10</v>
      </c>
      <c r="AB751" s="4" t="s">
        <v>11</v>
      </c>
      <c r="AC751" s="4" t="s">
        <v>12</v>
      </c>
      <c r="AD751" s="4" t="s">
        <v>13</v>
      </c>
      <c r="AE751" s="4" t="s">
        <v>14</v>
      </c>
      <c r="AF751" s="4" t="s">
        <v>15</v>
      </c>
    </row>
    <row r="752" spans="1:32" s="8" customFormat="1" ht="18" customHeight="1">
      <c r="A752" s="5" t="s">
        <v>16</v>
      </c>
      <c r="B752" s="44">
        <f>B392</f>
        <v>0</v>
      </c>
      <c r="C752" s="45"/>
      <c r="D752" s="45"/>
      <c r="E752" s="6" t="str">
        <f>E392</f>
        <v>Version:</v>
      </c>
      <c r="F752" s="72" t="s">
        <v>18</v>
      </c>
      <c r="G752" s="74" t="s">
        <v>19</v>
      </c>
      <c r="H752" s="74" t="s">
        <v>20</v>
      </c>
      <c r="I752" s="77" t="s">
        <v>21</v>
      </c>
      <c r="J752" s="62" t="s">
        <v>22</v>
      </c>
      <c r="K752" s="79" t="s">
        <v>23</v>
      </c>
      <c r="L752" s="62" t="s">
        <v>24</v>
      </c>
      <c r="M752" s="56" t="s">
        <v>25</v>
      </c>
      <c r="N752" s="59" t="s">
        <v>26</v>
      </c>
      <c r="O752" s="62" t="s">
        <v>27</v>
      </c>
      <c r="P752" s="65" t="s">
        <v>28</v>
      </c>
      <c r="Q752" s="66" t="s">
        <v>29</v>
      </c>
      <c r="R752" s="68" t="s">
        <v>30</v>
      </c>
      <c r="S752"/>
      <c r="T752" s="7" t="str">
        <f>IF(C785&gt;18,IF(C785=20,Nennweite20,IF(C785=60,U754,IF(C785=50,Nennweite50,IF(C785=25,Nennweite25,IF(C785=32,Nennweite32,IF(C785=40,Nennweite40,"&gt;")))))),IF(C785=8,Nennweite8,IF(C785=6,Nennweite6,IF(C785=10,Nennweite10,IF(C785=18,Nennweite18,IF(C785=16,Nennweite16,IF(C785=12,Nennweite12,"")))))))</f>
        <v/>
      </c>
      <c r="U752" t="s">
        <v>31</v>
      </c>
      <c r="V752" t="s">
        <v>32</v>
      </c>
      <c r="W752" t="s">
        <v>33</v>
      </c>
      <c r="X752" t="s">
        <v>34</v>
      </c>
      <c r="Y752" t="s">
        <v>35</v>
      </c>
      <c r="Z752"/>
      <c r="AA752" t="s">
        <v>36</v>
      </c>
      <c r="AB752" t="s">
        <v>37</v>
      </c>
      <c r="AC752" t="s">
        <v>38</v>
      </c>
      <c r="AD752" t="s">
        <v>39</v>
      </c>
      <c r="AE752" t="s">
        <v>40</v>
      </c>
      <c r="AF752" t="s">
        <v>41</v>
      </c>
    </row>
    <row r="753" spans="1:32" ht="18" customHeight="1">
      <c r="A753" s="5" t="s">
        <v>42</v>
      </c>
      <c r="B753" s="44">
        <f>B393</f>
        <v>0</v>
      </c>
      <c r="C753" s="45"/>
      <c r="D753" s="45"/>
      <c r="E753" s="46"/>
      <c r="F753" s="72"/>
      <c r="G753" s="75"/>
      <c r="H753" s="75"/>
      <c r="I753" s="77"/>
      <c r="J753" s="63"/>
      <c r="K753" s="80"/>
      <c r="L753" s="63"/>
      <c r="M753" s="57"/>
      <c r="N753" s="60"/>
      <c r="O753" s="63"/>
      <c r="P753" s="63"/>
      <c r="Q753" s="66"/>
      <c r="R753" s="66"/>
      <c r="U753" t="s">
        <v>43</v>
      </c>
      <c r="V753" t="s">
        <v>44</v>
      </c>
      <c r="W753" t="s">
        <v>45</v>
      </c>
      <c r="X753" t="s">
        <v>46</v>
      </c>
      <c r="Y753" t="s">
        <v>47</v>
      </c>
      <c r="AA753" t="s">
        <v>48</v>
      </c>
      <c r="AB753" t="s">
        <v>49</v>
      </c>
      <c r="AC753" t="s">
        <v>50</v>
      </c>
      <c r="AD753" t="s">
        <v>51</v>
      </c>
      <c r="AE753" t="s">
        <v>52</v>
      </c>
      <c r="AF753" t="s">
        <v>53</v>
      </c>
    </row>
    <row r="754" spans="1:32" ht="18" customHeight="1" thickBot="1">
      <c r="A754" s="9" t="s">
        <v>54</v>
      </c>
      <c r="B754" s="10" t="s">
        <v>55</v>
      </c>
      <c r="C754" s="10" t="s">
        <v>56</v>
      </c>
      <c r="D754" s="11" t="s">
        <v>57</v>
      </c>
      <c r="E754" s="9" t="s">
        <v>58</v>
      </c>
      <c r="F754" s="73"/>
      <c r="G754" s="76"/>
      <c r="H754" s="76"/>
      <c r="I754" s="78"/>
      <c r="J754" s="64"/>
      <c r="K754" s="81"/>
      <c r="L754" s="64"/>
      <c r="M754" s="58"/>
      <c r="N754" s="61"/>
      <c r="O754" s="64"/>
      <c r="P754" s="64"/>
      <c r="Q754" s="67"/>
      <c r="R754" s="67"/>
      <c r="U754" t="s">
        <v>59</v>
      </c>
      <c r="V754" t="s">
        <v>60</v>
      </c>
      <c r="W754" t="s">
        <v>61</v>
      </c>
      <c r="X754" t="s">
        <v>62</v>
      </c>
      <c r="Y754" t="s">
        <v>63</v>
      </c>
      <c r="AA754" t="s">
        <v>64</v>
      </c>
      <c r="AB754" t="s">
        <v>65</v>
      </c>
      <c r="AC754" t="s">
        <v>66</v>
      </c>
      <c r="AD754" t="s">
        <v>67</v>
      </c>
      <c r="AE754" t="s">
        <v>68</v>
      </c>
      <c r="AF754" t="s">
        <v>69</v>
      </c>
    </row>
    <row r="755" spans="1:32" ht="22.15" customHeight="1">
      <c r="A755" s="12">
        <v>501</v>
      </c>
      <c r="B755" s="13"/>
      <c r="C755" s="13"/>
      <c r="D755" s="13"/>
      <c r="E755" s="13"/>
      <c r="F755" s="14"/>
      <c r="G755" s="15"/>
      <c r="H755" s="15"/>
      <c r="I755" s="24"/>
      <c r="J755" s="17"/>
      <c r="K755" s="18"/>
      <c r="L755" s="19"/>
      <c r="M755" s="31"/>
      <c r="N755" s="21"/>
      <c r="O755" s="30"/>
      <c r="P755" s="30"/>
      <c r="Q755" s="23"/>
      <c r="R755" s="24"/>
      <c r="U755" t="s">
        <v>70</v>
      </c>
      <c r="V755" t="s">
        <v>71</v>
      </c>
      <c r="W755" t="s">
        <v>72</v>
      </c>
      <c r="X755" t="s">
        <v>73</v>
      </c>
      <c r="Y755" t="s">
        <v>74</v>
      </c>
      <c r="AA755" t="s">
        <v>75</v>
      </c>
      <c r="AB755" t="s">
        <v>76</v>
      </c>
      <c r="AC755" t="s">
        <v>77</v>
      </c>
      <c r="AD755" t="s">
        <v>78</v>
      </c>
      <c r="AE755" t="s">
        <v>79</v>
      </c>
    </row>
    <row r="756" spans="1:32" ht="22.15" customHeight="1">
      <c r="A756" s="12">
        <v>502</v>
      </c>
      <c r="B756" s="13"/>
      <c r="C756" s="13"/>
      <c r="D756" s="13"/>
      <c r="E756" s="13"/>
      <c r="F756" s="14"/>
      <c r="G756" s="15"/>
      <c r="H756" s="15"/>
      <c r="I756" s="24"/>
      <c r="J756" s="17"/>
      <c r="K756" s="18"/>
      <c r="L756" s="19"/>
      <c r="M756" s="31"/>
      <c r="N756" s="21"/>
      <c r="O756" s="30"/>
      <c r="P756" s="30"/>
      <c r="Q756" s="23"/>
      <c r="R756" s="24"/>
      <c r="U756" t="s">
        <v>80</v>
      </c>
      <c r="X756" t="s">
        <v>81</v>
      </c>
      <c r="Y756" t="s">
        <v>82</v>
      </c>
      <c r="AA756" t="s">
        <v>83</v>
      </c>
      <c r="AB756" t="s">
        <v>84</v>
      </c>
      <c r="AC756" t="s">
        <v>85</v>
      </c>
      <c r="AD756" t="s">
        <v>86</v>
      </c>
      <c r="AE756" t="s">
        <v>87</v>
      </c>
    </row>
    <row r="757" spans="1:32" ht="22.15" customHeight="1">
      <c r="A757" s="12">
        <v>503</v>
      </c>
      <c r="B757" s="13"/>
      <c r="C757" s="13"/>
      <c r="D757" s="13"/>
      <c r="E757" s="13"/>
      <c r="F757" s="14"/>
      <c r="G757" s="15"/>
      <c r="H757" s="15"/>
      <c r="I757" s="24"/>
      <c r="J757" s="17"/>
      <c r="K757" s="18"/>
      <c r="L757" s="19"/>
      <c r="M757" s="31"/>
      <c r="N757" s="21"/>
      <c r="O757" s="30"/>
      <c r="P757" s="30"/>
      <c r="Q757" s="23"/>
      <c r="R757" s="24"/>
      <c r="U757" t="s">
        <v>88</v>
      </c>
      <c r="V757" t="s">
        <v>89</v>
      </c>
      <c r="W757" t="s">
        <v>90</v>
      </c>
      <c r="X757" t="s">
        <v>91</v>
      </c>
      <c r="Y757" t="s">
        <v>92</v>
      </c>
      <c r="AA757" t="s">
        <v>93</v>
      </c>
      <c r="AB757" t="s">
        <v>94</v>
      </c>
      <c r="AC757" t="s">
        <v>95</v>
      </c>
      <c r="AD757" t="s">
        <v>96</v>
      </c>
      <c r="AE757" t="s">
        <v>97</v>
      </c>
    </row>
    <row r="758" spans="1:32" ht="22.15" customHeight="1">
      <c r="A758" s="12">
        <v>504</v>
      </c>
      <c r="B758" s="12"/>
      <c r="C758" s="13"/>
      <c r="D758" s="13"/>
      <c r="E758" s="13"/>
      <c r="F758" s="14"/>
      <c r="G758" s="15"/>
      <c r="H758" s="15"/>
      <c r="I758" s="24"/>
      <c r="J758" s="17"/>
      <c r="K758" s="18"/>
      <c r="L758" s="19"/>
      <c r="M758" s="31"/>
      <c r="N758" s="21"/>
      <c r="O758" s="30"/>
      <c r="P758" s="30"/>
      <c r="Q758" s="23"/>
      <c r="R758" s="24"/>
      <c r="V758" t="s">
        <v>98</v>
      </c>
      <c r="W758" t="s">
        <v>99</v>
      </c>
    </row>
    <row r="759" spans="1:32" ht="22.15" customHeight="1">
      <c r="A759" s="12">
        <v>505</v>
      </c>
      <c r="B759" s="12"/>
      <c r="C759" s="13"/>
      <c r="D759" s="13"/>
      <c r="E759" s="13"/>
      <c r="F759" s="14"/>
      <c r="G759" s="15"/>
      <c r="H759" s="15"/>
      <c r="I759" s="24"/>
      <c r="J759" s="17"/>
      <c r="K759" s="18"/>
      <c r="L759" s="19"/>
      <c r="M759" s="31"/>
      <c r="N759" s="21"/>
      <c r="O759" s="30"/>
      <c r="P759" s="30"/>
      <c r="Q759" s="23"/>
      <c r="R759" s="24"/>
      <c r="U759" t="s">
        <v>100</v>
      </c>
      <c r="V759" t="s">
        <v>101</v>
      </c>
      <c r="W759" t="s">
        <v>102</v>
      </c>
      <c r="X759" t="s">
        <v>103</v>
      </c>
      <c r="Y759" t="s">
        <v>103</v>
      </c>
      <c r="AA759" t="s">
        <v>104</v>
      </c>
      <c r="AB759" t="s">
        <v>105</v>
      </c>
      <c r="AC759" t="s">
        <v>106</v>
      </c>
      <c r="AD759" t="s">
        <v>40</v>
      </c>
      <c r="AE759" t="s">
        <v>107</v>
      </c>
    </row>
    <row r="760" spans="1:32" ht="22.15" customHeight="1">
      <c r="A760" s="12">
        <v>506</v>
      </c>
      <c r="B760" s="12"/>
      <c r="C760" s="13"/>
      <c r="D760" s="13"/>
      <c r="E760" s="13"/>
      <c r="F760" s="14"/>
      <c r="G760" s="15"/>
      <c r="H760" s="15"/>
      <c r="I760" s="24"/>
      <c r="J760" s="17"/>
      <c r="K760" s="18"/>
      <c r="L760" s="19"/>
      <c r="M760" s="31"/>
      <c r="N760" s="21"/>
      <c r="O760" s="30"/>
      <c r="P760" s="30"/>
      <c r="Q760" s="23"/>
      <c r="R760" s="24"/>
      <c r="X760" t="s">
        <v>108</v>
      </c>
      <c r="Y760" t="s">
        <v>108</v>
      </c>
      <c r="AA760" t="s">
        <v>109</v>
      </c>
      <c r="AB760" t="s">
        <v>110</v>
      </c>
      <c r="AC760" t="s">
        <v>111</v>
      </c>
      <c r="AD760" t="s">
        <v>52</v>
      </c>
    </row>
    <row r="761" spans="1:32" ht="22.15" customHeight="1">
      <c r="A761" s="12">
        <v>507</v>
      </c>
      <c r="B761" s="12"/>
      <c r="C761" s="13"/>
      <c r="D761" s="13"/>
      <c r="E761" s="13"/>
      <c r="F761" s="14"/>
      <c r="G761" s="15"/>
      <c r="H761" s="15"/>
      <c r="I761" s="24"/>
      <c r="J761" s="17"/>
      <c r="K761" s="18"/>
      <c r="L761" s="19"/>
      <c r="M761" s="31"/>
      <c r="N761" s="21"/>
      <c r="O761" s="30"/>
      <c r="P761" s="30"/>
      <c r="Q761" s="23"/>
      <c r="R761" s="24"/>
      <c r="U761" t="s">
        <v>112</v>
      </c>
      <c r="V761" t="s">
        <v>113</v>
      </c>
      <c r="W761" t="s">
        <v>114</v>
      </c>
      <c r="X761" t="s">
        <v>115</v>
      </c>
      <c r="Y761" t="s">
        <v>116</v>
      </c>
      <c r="AA761" t="s">
        <v>117</v>
      </c>
      <c r="AB761" t="s">
        <v>118</v>
      </c>
      <c r="AC761" t="s">
        <v>119</v>
      </c>
      <c r="AD761" t="s">
        <v>68</v>
      </c>
      <c r="AE761" t="s">
        <v>120</v>
      </c>
    </row>
    <row r="762" spans="1:32" ht="22.15" customHeight="1">
      <c r="A762" s="12">
        <v>508</v>
      </c>
      <c r="B762" s="12"/>
      <c r="C762" s="13"/>
      <c r="D762" s="13"/>
      <c r="E762" s="13"/>
      <c r="F762" s="14"/>
      <c r="G762" s="15"/>
      <c r="H762" s="15"/>
      <c r="I762" s="24"/>
      <c r="J762" s="17"/>
      <c r="K762" s="18"/>
      <c r="L762" s="19"/>
      <c r="M762" s="31"/>
      <c r="N762" s="21"/>
      <c r="O762" s="30"/>
      <c r="P762" s="30"/>
      <c r="Q762" s="23"/>
      <c r="R762" s="24"/>
      <c r="V762" t="s">
        <v>121</v>
      </c>
      <c r="W762" t="s">
        <v>122</v>
      </c>
      <c r="AE762" t="s">
        <v>123</v>
      </c>
    </row>
    <row r="763" spans="1:32" ht="22.15" customHeight="1">
      <c r="A763" s="12">
        <v>509</v>
      </c>
      <c r="B763" s="12"/>
      <c r="C763" s="13"/>
      <c r="D763" s="13"/>
      <c r="E763" s="13"/>
      <c r="F763" s="14"/>
      <c r="G763" s="15"/>
      <c r="H763" s="15"/>
      <c r="I763" s="24"/>
      <c r="J763" s="17"/>
      <c r="K763" s="18"/>
      <c r="L763" s="19"/>
      <c r="M763" s="31"/>
      <c r="N763" s="21"/>
      <c r="O763" s="30"/>
      <c r="P763" s="30"/>
      <c r="Q763" s="23"/>
      <c r="R763" s="24"/>
      <c r="U763" t="s">
        <v>124</v>
      </c>
      <c r="V763" t="s">
        <v>125</v>
      </c>
      <c r="W763" t="s">
        <v>126</v>
      </c>
      <c r="X763" t="s">
        <v>127</v>
      </c>
      <c r="Y763" t="s">
        <v>128</v>
      </c>
      <c r="AA763" t="s">
        <v>128</v>
      </c>
      <c r="AB763" t="s">
        <v>129</v>
      </c>
      <c r="AC763" t="s">
        <v>130</v>
      </c>
      <c r="AD763" t="s">
        <v>131</v>
      </c>
      <c r="AE763" t="s">
        <v>132</v>
      </c>
    </row>
    <row r="764" spans="1:32" ht="22.15" customHeight="1">
      <c r="A764" s="12">
        <v>510</v>
      </c>
      <c r="B764" s="12"/>
      <c r="C764" s="13"/>
      <c r="D764" s="13"/>
      <c r="E764" s="13"/>
      <c r="F764" s="14"/>
      <c r="G764" s="15"/>
      <c r="H764" s="15"/>
      <c r="I764" s="24"/>
      <c r="J764" s="17"/>
      <c r="K764" s="18"/>
      <c r="L764" s="19"/>
      <c r="M764" s="31"/>
      <c r="N764" s="21"/>
      <c r="O764" s="30"/>
      <c r="P764" s="30"/>
      <c r="Q764" s="23"/>
      <c r="R764" s="24"/>
      <c r="U764" t="s">
        <v>134</v>
      </c>
      <c r="X764" t="s">
        <v>135</v>
      </c>
      <c r="Y764" t="s">
        <v>136</v>
      </c>
      <c r="AA764" t="s">
        <v>136</v>
      </c>
      <c r="AB764" t="s">
        <v>137</v>
      </c>
      <c r="AC764" t="s">
        <v>138</v>
      </c>
      <c r="AD764" t="s">
        <v>139</v>
      </c>
    </row>
    <row r="765" spans="1:32" ht="22.15" customHeight="1">
      <c r="A765" s="12">
        <v>511</v>
      </c>
      <c r="B765" s="12"/>
      <c r="C765" s="13"/>
      <c r="D765" s="13"/>
      <c r="E765" s="13"/>
      <c r="F765" s="14"/>
      <c r="G765" s="15"/>
      <c r="H765" s="15"/>
      <c r="I765" s="24"/>
      <c r="J765" s="17"/>
      <c r="K765" s="18"/>
      <c r="L765" s="19"/>
      <c r="M765" s="31"/>
      <c r="N765" s="21"/>
      <c r="O765" s="30"/>
      <c r="P765" s="30"/>
      <c r="Q765" s="23"/>
      <c r="R765" s="24"/>
      <c r="U765" t="s">
        <v>140</v>
      </c>
      <c r="V765" t="s">
        <v>141</v>
      </c>
      <c r="W765" t="s">
        <v>142</v>
      </c>
      <c r="X765" t="s">
        <v>143</v>
      </c>
      <c r="Y765" t="s">
        <v>144</v>
      </c>
      <c r="AA765" t="s">
        <v>144</v>
      </c>
      <c r="AB765" t="s">
        <v>145</v>
      </c>
      <c r="AC765" t="s">
        <v>146</v>
      </c>
      <c r="AD765" t="s">
        <v>147</v>
      </c>
    </row>
    <row r="766" spans="1:32" ht="22.15" customHeight="1">
      <c r="A766" s="12">
        <v>512</v>
      </c>
      <c r="B766" s="12"/>
      <c r="C766" s="13"/>
      <c r="D766" s="13"/>
      <c r="E766" s="13"/>
      <c r="F766" s="14"/>
      <c r="G766" s="15"/>
      <c r="H766" s="15"/>
      <c r="I766" s="24"/>
      <c r="J766" s="17"/>
      <c r="K766" s="18"/>
      <c r="L766" s="19"/>
      <c r="M766" s="31"/>
      <c r="N766" s="21"/>
      <c r="O766" s="30"/>
      <c r="P766" s="30"/>
      <c r="Q766" s="23"/>
      <c r="R766" s="24"/>
      <c r="V766" t="s">
        <v>148</v>
      </c>
    </row>
    <row r="767" spans="1:32" ht="22.15" customHeight="1">
      <c r="A767" s="12">
        <v>513</v>
      </c>
      <c r="B767" s="12"/>
      <c r="C767" s="13"/>
      <c r="D767" s="13"/>
      <c r="E767" s="13"/>
      <c r="F767" s="14"/>
      <c r="G767" s="15"/>
      <c r="H767" s="15"/>
      <c r="I767" s="24"/>
      <c r="J767" s="17"/>
      <c r="K767" s="18"/>
      <c r="L767" s="19"/>
      <c r="M767" s="31"/>
      <c r="N767" s="21"/>
      <c r="O767" s="30"/>
      <c r="P767" s="30"/>
      <c r="Q767" s="23"/>
      <c r="R767" s="24"/>
      <c r="U767" t="s">
        <v>149</v>
      </c>
      <c r="W767" t="s">
        <v>150</v>
      </c>
      <c r="X767" t="s">
        <v>151</v>
      </c>
      <c r="Y767" t="s">
        <v>127</v>
      </c>
      <c r="AA767" t="s">
        <v>129</v>
      </c>
      <c r="AB767" t="s">
        <v>130</v>
      </c>
      <c r="AC767" t="s">
        <v>78</v>
      </c>
      <c r="AD767" t="s">
        <v>152</v>
      </c>
    </row>
    <row r="768" spans="1:32" ht="22.15" customHeight="1">
      <c r="A768" s="12">
        <v>514</v>
      </c>
      <c r="B768" s="12"/>
      <c r="C768" s="13"/>
      <c r="D768" s="13"/>
      <c r="E768" s="13"/>
      <c r="F768" s="14"/>
      <c r="G768" s="15"/>
      <c r="H768" s="15"/>
      <c r="I768" s="24"/>
      <c r="J768" s="17"/>
      <c r="K768" s="18"/>
      <c r="L768" s="19"/>
      <c r="M768" s="31"/>
      <c r="N768" s="21"/>
      <c r="O768" s="30"/>
      <c r="P768" s="30"/>
      <c r="Q768" s="23"/>
      <c r="R768" s="24"/>
      <c r="U768" t="s">
        <v>153</v>
      </c>
      <c r="V768" t="s">
        <v>154</v>
      </c>
      <c r="W768" t="s">
        <v>155</v>
      </c>
      <c r="X768" t="s">
        <v>156</v>
      </c>
      <c r="Y768" t="s">
        <v>135</v>
      </c>
      <c r="AA768" t="s">
        <v>137</v>
      </c>
      <c r="AB768" t="s">
        <v>138</v>
      </c>
      <c r="AC768" t="s">
        <v>86</v>
      </c>
      <c r="AD768" t="s">
        <v>157</v>
      </c>
    </row>
    <row r="769" spans="1:32" ht="22.15" customHeight="1">
      <c r="A769" s="12">
        <v>515</v>
      </c>
      <c r="B769" s="12"/>
      <c r="C769" s="13"/>
      <c r="D769" s="13"/>
      <c r="E769" s="13"/>
      <c r="F769" s="14"/>
      <c r="G769" s="15"/>
      <c r="H769" s="15"/>
      <c r="I769" s="24"/>
      <c r="J769" s="17"/>
      <c r="K769" s="18"/>
      <c r="L769" s="19"/>
      <c r="M769" s="31"/>
      <c r="N769" s="21"/>
      <c r="O769" s="30"/>
      <c r="P769" s="30"/>
      <c r="Q769" s="23"/>
      <c r="R769" s="24"/>
      <c r="U769" t="s">
        <v>158</v>
      </c>
      <c r="V769" t="s">
        <v>159</v>
      </c>
      <c r="X769" t="s">
        <v>160</v>
      </c>
      <c r="Y769" t="s">
        <v>143</v>
      </c>
      <c r="AA769" t="s">
        <v>145</v>
      </c>
      <c r="AB769" t="s">
        <v>146</v>
      </c>
      <c r="AC769" t="s">
        <v>96</v>
      </c>
      <c r="AD769" t="s">
        <v>161</v>
      </c>
    </row>
    <row r="770" spans="1:32" ht="22.15" customHeight="1">
      <c r="A770" s="12">
        <v>516</v>
      </c>
      <c r="B770" s="12"/>
      <c r="C770" s="13"/>
      <c r="D770" s="13"/>
      <c r="E770" s="13"/>
      <c r="F770" s="14"/>
      <c r="G770" s="15"/>
      <c r="H770" s="15"/>
      <c r="I770" s="24"/>
      <c r="J770" s="17"/>
      <c r="K770" s="18"/>
      <c r="L770" s="19"/>
      <c r="M770" s="31"/>
      <c r="N770" s="21"/>
      <c r="O770" s="30"/>
      <c r="P770" s="30"/>
      <c r="Q770" s="23"/>
      <c r="R770" s="24"/>
      <c r="V770" t="s">
        <v>162</v>
      </c>
      <c r="W770" t="s">
        <v>163</v>
      </c>
    </row>
    <row r="771" spans="1:32" ht="22.15" customHeight="1">
      <c r="A771" s="12">
        <v>517</v>
      </c>
      <c r="B771" s="12"/>
      <c r="C771" s="13"/>
      <c r="D771" s="13"/>
      <c r="E771" s="13"/>
      <c r="F771" s="14"/>
      <c r="G771" s="15"/>
      <c r="H771" s="15"/>
      <c r="I771" s="24"/>
      <c r="J771" s="17"/>
      <c r="K771" s="18"/>
      <c r="L771" s="19"/>
      <c r="M771" s="31"/>
      <c r="N771" s="21"/>
      <c r="O771" s="30"/>
      <c r="P771" s="30"/>
      <c r="Q771" s="23"/>
      <c r="R771" s="24"/>
      <c r="U771" t="s">
        <v>164</v>
      </c>
      <c r="W771" t="s">
        <v>165</v>
      </c>
      <c r="X771" t="s">
        <v>166</v>
      </c>
      <c r="Y771" t="s">
        <v>151</v>
      </c>
      <c r="AA771" t="s">
        <v>151</v>
      </c>
      <c r="AB771" t="s">
        <v>167</v>
      </c>
      <c r="AC771" t="s">
        <v>168</v>
      </c>
      <c r="AD771" t="s">
        <v>169</v>
      </c>
    </row>
    <row r="772" spans="1:32" ht="22.15" customHeight="1">
      <c r="A772" s="12">
        <v>518</v>
      </c>
      <c r="B772" s="12"/>
      <c r="C772" s="13"/>
      <c r="D772" s="13"/>
      <c r="E772" s="13"/>
      <c r="F772" s="14"/>
      <c r="G772" s="15"/>
      <c r="H772" s="15"/>
      <c r="I772" s="24"/>
      <c r="J772" s="17"/>
      <c r="K772" s="18"/>
      <c r="L772" s="19"/>
      <c r="M772" s="31"/>
      <c r="N772" s="21"/>
      <c r="O772" s="30"/>
      <c r="P772" s="30"/>
      <c r="Q772" s="23"/>
      <c r="R772" s="24"/>
      <c r="U772" t="s">
        <v>170</v>
      </c>
      <c r="V772" t="s">
        <v>171</v>
      </c>
      <c r="W772" t="s">
        <v>172</v>
      </c>
      <c r="Y772" t="s">
        <v>156</v>
      </c>
      <c r="AA772" t="s">
        <v>156</v>
      </c>
      <c r="AB772" t="s">
        <v>173</v>
      </c>
      <c r="AC772" t="s">
        <v>174</v>
      </c>
      <c r="AD772" t="s">
        <v>175</v>
      </c>
    </row>
    <row r="773" spans="1:32" ht="22.15" customHeight="1">
      <c r="A773" s="12">
        <v>519</v>
      </c>
      <c r="B773" s="12"/>
      <c r="C773" s="13"/>
      <c r="D773" s="13"/>
      <c r="E773" s="13"/>
      <c r="F773" s="14"/>
      <c r="G773" s="15"/>
      <c r="H773" s="15"/>
      <c r="I773" s="24"/>
      <c r="J773" s="17"/>
      <c r="K773" s="18"/>
      <c r="L773" s="19"/>
      <c r="M773" s="31"/>
      <c r="N773" s="21"/>
      <c r="O773" s="30"/>
      <c r="P773" s="30"/>
      <c r="Q773" s="23"/>
      <c r="R773" s="24"/>
      <c r="U773" t="s">
        <v>176</v>
      </c>
      <c r="V773" t="s">
        <v>177</v>
      </c>
      <c r="X773" t="s">
        <v>178</v>
      </c>
      <c r="Y773" t="s">
        <v>160</v>
      </c>
      <c r="AA773" t="s">
        <v>160</v>
      </c>
      <c r="AB773" t="s">
        <v>179</v>
      </c>
      <c r="AC773" t="s">
        <v>180</v>
      </c>
      <c r="AD773" t="s">
        <v>181</v>
      </c>
    </row>
    <row r="774" spans="1:32" ht="22.15" customHeight="1">
      <c r="A774" s="12">
        <v>520</v>
      </c>
      <c r="B774" s="12"/>
      <c r="C774" s="13"/>
      <c r="D774" s="13"/>
      <c r="E774" s="13"/>
      <c r="F774" s="14"/>
      <c r="G774" s="15"/>
      <c r="H774" s="15"/>
      <c r="I774" s="24"/>
      <c r="J774" s="17"/>
      <c r="K774" s="18"/>
      <c r="L774" s="19"/>
      <c r="M774" s="31"/>
      <c r="N774" s="21"/>
      <c r="O774" s="30"/>
      <c r="P774" s="30"/>
      <c r="Q774" s="23"/>
      <c r="R774" s="24"/>
      <c r="V774" t="s">
        <v>184</v>
      </c>
      <c r="W774" t="s">
        <v>185</v>
      </c>
      <c r="X774" t="s">
        <v>186</v>
      </c>
    </row>
    <row r="775" spans="1:32" ht="18" customHeight="1">
      <c r="A775" s="47" t="s">
        <v>302</v>
      </c>
      <c r="B775" s="48"/>
      <c r="C775" s="48"/>
      <c r="D775" s="48"/>
      <c r="E775" s="49"/>
      <c r="F775" s="50" t="s">
        <v>183</v>
      </c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2"/>
      <c r="U775" t="s">
        <v>320</v>
      </c>
      <c r="W775" t="s">
        <v>321</v>
      </c>
      <c r="X775" t="s">
        <v>322</v>
      </c>
      <c r="Y775" t="s">
        <v>323</v>
      </c>
      <c r="AA775" s="16" t="s">
        <v>167</v>
      </c>
      <c r="AB775" s="16" t="s">
        <v>168</v>
      </c>
      <c r="AC775" s="16" t="s">
        <v>131</v>
      </c>
      <c r="AD775" s="16" t="s">
        <v>253</v>
      </c>
    </row>
    <row r="776" spans="1:32" ht="18" customHeight="1">
      <c r="A776" s="12">
        <v>1</v>
      </c>
      <c r="B776" s="47" t="s">
        <v>187</v>
      </c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9"/>
      <c r="AA776" s="27" t="s">
        <v>188</v>
      </c>
      <c r="AB776" s="27" t="s">
        <v>189</v>
      </c>
      <c r="AC776" s="27" t="s">
        <v>190</v>
      </c>
    </row>
    <row r="777" spans="1:32" ht="18" customHeight="1">
      <c r="A777" s="23">
        <v>2</v>
      </c>
      <c r="B777" s="53" t="s">
        <v>191</v>
      </c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5"/>
      <c r="U777" t="s">
        <v>192</v>
      </c>
      <c r="V777" s="16" t="s">
        <v>193</v>
      </c>
      <c r="W777" t="s">
        <v>194</v>
      </c>
      <c r="Y777" t="s">
        <v>195</v>
      </c>
      <c r="AA777" s="16" t="s">
        <v>173</v>
      </c>
      <c r="AB777" s="16" t="s">
        <v>174</v>
      </c>
      <c r="AC777" s="16" t="s">
        <v>139</v>
      </c>
      <c r="AD777" s="16" t="s">
        <v>196</v>
      </c>
    </row>
    <row r="778" spans="1:32" ht="18" customHeight="1">
      <c r="A778" s="23">
        <v>3</v>
      </c>
      <c r="B778" s="47" t="s">
        <v>197</v>
      </c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9"/>
      <c r="V778" s="16" t="s">
        <v>198</v>
      </c>
      <c r="X778" s="16" t="s">
        <v>199</v>
      </c>
      <c r="Y778" t="s">
        <v>200</v>
      </c>
      <c r="AA778" s="16" t="s">
        <v>179</v>
      </c>
      <c r="AB778" s="16" t="s">
        <v>180</v>
      </c>
      <c r="AC778" s="16" t="s">
        <v>147</v>
      </c>
      <c r="AD778" s="16" t="s">
        <v>201</v>
      </c>
    </row>
    <row r="779" spans="1:32" ht="18" customHeight="1">
      <c r="A779" s="37" t="s">
        <v>202</v>
      </c>
      <c r="B779" s="38"/>
      <c r="C779" s="39">
        <f>C449</f>
        <v>0</v>
      </c>
      <c r="D779" s="39"/>
      <c r="E779" s="37" t="s">
        <v>203</v>
      </c>
      <c r="F779" s="40"/>
      <c r="G779" s="41">
        <f>G449</f>
        <v>0</v>
      </c>
      <c r="H779" s="42"/>
      <c r="I779" s="42"/>
      <c r="J779" s="42"/>
      <c r="K779" s="28" t="s">
        <v>204</v>
      </c>
      <c r="L779" s="43" t="s">
        <v>205</v>
      </c>
      <c r="M779" s="43"/>
      <c r="N779" s="43"/>
      <c r="O779" s="43"/>
      <c r="P779" s="43"/>
      <c r="Q779" s="43"/>
      <c r="R779" s="43"/>
      <c r="U779" t="s">
        <v>206</v>
      </c>
      <c r="W779" s="16" t="s">
        <v>207</v>
      </c>
      <c r="X779" s="16" t="s">
        <v>208</v>
      </c>
    </row>
    <row r="780" spans="1:32" ht="18" customHeight="1">
      <c r="A780" s="37" t="s">
        <v>209</v>
      </c>
      <c r="B780" s="38"/>
      <c r="C780" s="39">
        <f>C450</f>
        <v>0</v>
      </c>
      <c r="D780" s="39"/>
      <c r="E780" s="37" t="s">
        <v>210</v>
      </c>
      <c r="F780" s="40"/>
      <c r="G780" s="41">
        <f>G450</f>
        <v>0</v>
      </c>
      <c r="H780" s="42"/>
      <c r="I780" s="42"/>
      <c r="J780" s="42"/>
      <c r="K780" s="28" t="s">
        <v>204</v>
      </c>
      <c r="L780" s="43" t="s">
        <v>205</v>
      </c>
      <c r="M780" s="43"/>
      <c r="N780" s="43"/>
      <c r="O780" s="43"/>
      <c r="P780" s="43"/>
      <c r="Q780" s="43"/>
      <c r="R780" s="43"/>
      <c r="V780" s="16" t="s">
        <v>211</v>
      </c>
      <c r="W780" s="16" t="s">
        <v>212</v>
      </c>
      <c r="Y780" t="s">
        <v>213</v>
      </c>
      <c r="AA780" s="16" t="s">
        <v>214</v>
      </c>
      <c r="AB780" s="16" t="s">
        <v>214</v>
      </c>
      <c r="AC780" s="16" t="s">
        <v>215</v>
      </c>
      <c r="AD780" s="16" t="s">
        <v>216</v>
      </c>
    </row>
    <row r="781" spans="1:32" ht="48" customHeight="1">
      <c r="A781" s="69" t="s">
        <v>0</v>
      </c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1" t="s">
        <v>1</v>
      </c>
      <c r="M781" s="71"/>
      <c r="N781" s="71"/>
      <c r="O781" s="71"/>
      <c r="P781" s="71"/>
      <c r="Q781" s="1" t="s">
        <v>2</v>
      </c>
      <c r="R781" s="2" t="s">
        <v>3</v>
      </c>
      <c r="S781" s="3"/>
      <c r="T781" s="3" t="s">
        <v>4</v>
      </c>
      <c r="U781" s="4" t="s">
        <v>5</v>
      </c>
      <c r="V781" s="4" t="s">
        <v>6</v>
      </c>
      <c r="W781" s="4" t="s">
        <v>7</v>
      </c>
      <c r="X781" s="4" t="s">
        <v>8</v>
      </c>
      <c r="Y781" s="4" t="s">
        <v>9</v>
      </c>
      <c r="Z781" s="4"/>
      <c r="AA781" s="4" t="s">
        <v>10</v>
      </c>
      <c r="AB781" s="4" t="s">
        <v>11</v>
      </c>
      <c r="AC781" s="4" t="s">
        <v>12</v>
      </c>
      <c r="AD781" s="4" t="s">
        <v>13</v>
      </c>
      <c r="AE781" s="4" t="s">
        <v>14</v>
      </c>
      <c r="AF781" s="4" t="s">
        <v>15</v>
      </c>
    </row>
    <row r="782" spans="1:32" s="8" customFormat="1" ht="18" customHeight="1">
      <c r="A782" s="5" t="s">
        <v>16</v>
      </c>
      <c r="B782" s="44">
        <f>B422</f>
        <v>0</v>
      </c>
      <c r="C782" s="45"/>
      <c r="D782" s="45"/>
      <c r="E782" s="6" t="str">
        <f>E422</f>
        <v>Version:1</v>
      </c>
      <c r="F782" s="72" t="s">
        <v>18</v>
      </c>
      <c r="G782" s="74" t="s">
        <v>19</v>
      </c>
      <c r="H782" s="74" t="s">
        <v>20</v>
      </c>
      <c r="I782" s="77" t="s">
        <v>21</v>
      </c>
      <c r="J782" s="62" t="s">
        <v>22</v>
      </c>
      <c r="K782" s="79" t="s">
        <v>23</v>
      </c>
      <c r="L782" s="62" t="s">
        <v>24</v>
      </c>
      <c r="M782" s="56" t="s">
        <v>25</v>
      </c>
      <c r="N782" s="59" t="s">
        <v>26</v>
      </c>
      <c r="O782" s="62" t="s">
        <v>27</v>
      </c>
      <c r="P782" s="65" t="s">
        <v>28</v>
      </c>
      <c r="Q782" s="66" t="s">
        <v>29</v>
      </c>
      <c r="R782" s="68" t="s">
        <v>30</v>
      </c>
      <c r="S782"/>
      <c r="T782" s="7" t="str">
        <f>IF(C815&gt;18,IF(C815=20,Nennweite20,IF(C815=60,U784,IF(C815=50,Nennweite50,IF(C815=25,Nennweite25,IF(C815=32,Nennweite32,IF(C815=40,Nennweite40,"&gt;")))))),IF(C815=8,Nennweite8,IF(C815=6,Nennweite6,IF(C815=10,Nennweite10,IF(C815=18,Nennweite18,IF(C815=16,Nennweite16,IF(C815=12,Nennweite12,"")))))))</f>
        <v/>
      </c>
      <c r="U782" t="s">
        <v>31</v>
      </c>
      <c r="V782" t="s">
        <v>32</v>
      </c>
      <c r="W782" t="s">
        <v>33</v>
      </c>
      <c r="X782" t="s">
        <v>34</v>
      </c>
      <c r="Y782" t="s">
        <v>35</v>
      </c>
      <c r="Z782"/>
      <c r="AA782" t="s">
        <v>36</v>
      </c>
      <c r="AB782" t="s">
        <v>37</v>
      </c>
      <c r="AC782" t="s">
        <v>38</v>
      </c>
      <c r="AD782" t="s">
        <v>39</v>
      </c>
      <c r="AE782" t="s">
        <v>40</v>
      </c>
      <c r="AF782" t="s">
        <v>41</v>
      </c>
    </row>
    <row r="783" spans="1:32" ht="18" customHeight="1">
      <c r="A783" s="5" t="s">
        <v>42</v>
      </c>
      <c r="B783" s="44">
        <f>B423</f>
        <v>0</v>
      </c>
      <c r="C783" s="45"/>
      <c r="D783" s="45"/>
      <c r="E783" s="46"/>
      <c r="F783" s="72"/>
      <c r="G783" s="75"/>
      <c r="H783" s="75"/>
      <c r="I783" s="77"/>
      <c r="J783" s="63"/>
      <c r="K783" s="80"/>
      <c r="L783" s="63"/>
      <c r="M783" s="57"/>
      <c r="N783" s="60"/>
      <c r="O783" s="63"/>
      <c r="P783" s="63"/>
      <c r="Q783" s="66"/>
      <c r="R783" s="66"/>
      <c r="U783" t="s">
        <v>43</v>
      </c>
      <c r="V783" t="s">
        <v>44</v>
      </c>
      <c r="W783" t="s">
        <v>45</v>
      </c>
      <c r="X783" t="s">
        <v>46</v>
      </c>
      <c r="Y783" t="s">
        <v>47</v>
      </c>
      <c r="AA783" t="s">
        <v>48</v>
      </c>
      <c r="AB783" t="s">
        <v>49</v>
      </c>
      <c r="AC783" t="s">
        <v>50</v>
      </c>
      <c r="AD783" t="s">
        <v>51</v>
      </c>
      <c r="AE783" t="s">
        <v>52</v>
      </c>
      <c r="AF783" t="s">
        <v>53</v>
      </c>
    </row>
    <row r="784" spans="1:32" ht="18" customHeight="1" thickBot="1">
      <c r="A784" s="9" t="s">
        <v>54</v>
      </c>
      <c r="B784" s="10" t="s">
        <v>55</v>
      </c>
      <c r="C784" s="10" t="s">
        <v>56</v>
      </c>
      <c r="D784" s="11" t="s">
        <v>57</v>
      </c>
      <c r="E784" s="9" t="s">
        <v>58</v>
      </c>
      <c r="F784" s="73"/>
      <c r="G784" s="76"/>
      <c r="H784" s="76"/>
      <c r="I784" s="78"/>
      <c r="J784" s="64"/>
      <c r="K784" s="81"/>
      <c r="L784" s="64"/>
      <c r="M784" s="58"/>
      <c r="N784" s="61"/>
      <c r="O784" s="64"/>
      <c r="P784" s="64"/>
      <c r="Q784" s="67"/>
      <c r="R784" s="67"/>
      <c r="U784" t="s">
        <v>59</v>
      </c>
      <c r="V784" t="s">
        <v>60</v>
      </c>
      <c r="W784" t="s">
        <v>61</v>
      </c>
      <c r="X784" t="s">
        <v>62</v>
      </c>
      <c r="Y784" t="s">
        <v>63</v>
      </c>
      <c r="AA784" t="s">
        <v>64</v>
      </c>
      <c r="AB784" t="s">
        <v>65</v>
      </c>
      <c r="AC784" t="s">
        <v>66</v>
      </c>
      <c r="AD784" t="s">
        <v>67</v>
      </c>
      <c r="AE784" t="s">
        <v>68</v>
      </c>
      <c r="AF784" t="s">
        <v>69</v>
      </c>
    </row>
    <row r="785" spans="1:31" ht="22.15" customHeight="1">
      <c r="A785" s="12">
        <v>521</v>
      </c>
      <c r="B785" s="13"/>
      <c r="C785" s="13"/>
      <c r="D785" s="13"/>
      <c r="E785" s="13"/>
      <c r="F785" s="14"/>
      <c r="G785" s="15"/>
      <c r="H785" s="15"/>
      <c r="I785" s="24"/>
      <c r="J785" s="17"/>
      <c r="K785" s="18"/>
      <c r="L785" s="19"/>
      <c r="M785" s="31"/>
      <c r="N785" s="21"/>
      <c r="O785" s="30"/>
      <c r="P785" s="30"/>
      <c r="Q785" s="23"/>
      <c r="R785" s="24"/>
      <c r="U785" t="s">
        <v>70</v>
      </c>
      <c r="V785" t="s">
        <v>71</v>
      </c>
      <c r="W785" t="s">
        <v>72</v>
      </c>
      <c r="X785" t="s">
        <v>73</v>
      </c>
      <c r="Y785" t="s">
        <v>74</v>
      </c>
      <c r="AA785" t="s">
        <v>75</v>
      </c>
      <c r="AB785" t="s">
        <v>76</v>
      </c>
      <c r="AC785" t="s">
        <v>77</v>
      </c>
      <c r="AD785" t="s">
        <v>78</v>
      </c>
      <c r="AE785" t="s">
        <v>79</v>
      </c>
    </row>
    <row r="786" spans="1:31" ht="22.15" customHeight="1">
      <c r="A786" s="12">
        <v>522</v>
      </c>
      <c r="B786" s="13"/>
      <c r="C786" s="13"/>
      <c r="D786" s="13"/>
      <c r="E786" s="13"/>
      <c r="F786" s="14"/>
      <c r="G786" s="15"/>
      <c r="H786" s="15"/>
      <c r="I786" s="24"/>
      <c r="J786" s="17"/>
      <c r="K786" s="18"/>
      <c r="L786" s="19"/>
      <c r="M786" s="31"/>
      <c r="N786" s="21"/>
      <c r="O786" s="30"/>
      <c r="P786" s="30"/>
      <c r="Q786" s="23"/>
      <c r="R786" s="24"/>
      <c r="U786" t="s">
        <v>80</v>
      </c>
      <c r="X786" t="s">
        <v>81</v>
      </c>
      <c r="Y786" t="s">
        <v>82</v>
      </c>
      <c r="AA786" t="s">
        <v>83</v>
      </c>
      <c r="AB786" t="s">
        <v>84</v>
      </c>
      <c r="AC786" t="s">
        <v>85</v>
      </c>
      <c r="AD786" t="s">
        <v>86</v>
      </c>
      <c r="AE786" t="s">
        <v>87</v>
      </c>
    </row>
    <row r="787" spans="1:31" ht="22.15" customHeight="1">
      <c r="A787" s="12">
        <v>523</v>
      </c>
      <c r="B787" s="13"/>
      <c r="C787" s="13"/>
      <c r="D787" s="13"/>
      <c r="E787" s="13"/>
      <c r="F787" s="14"/>
      <c r="G787" s="15"/>
      <c r="H787" s="15"/>
      <c r="I787" s="24"/>
      <c r="J787" s="17"/>
      <c r="K787" s="18"/>
      <c r="L787" s="19"/>
      <c r="M787" s="31"/>
      <c r="N787" s="21"/>
      <c r="O787" s="30"/>
      <c r="P787" s="30"/>
      <c r="Q787" s="23"/>
      <c r="R787" s="24"/>
      <c r="U787" t="s">
        <v>88</v>
      </c>
      <c r="V787" t="s">
        <v>89</v>
      </c>
      <c r="W787" t="s">
        <v>90</v>
      </c>
      <c r="X787" t="s">
        <v>91</v>
      </c>
      <c r="Y787" t="s">
        <v>92</v>
      </c>
      <c r="AA787" t="s">
        <v>93</v>
      </c>
      <c r="AB787" t="s">
        <v>94</v>
      </c>
      <c r="AC787" t="s">
        <v>95</v>
      </c>
      <c r="AD787" t="s">
        <v>96</v>
      </c>
      <c r="AE787" t="s">
        <v>97</v>
      </c>
    </row>
    <row r="788" spans="1:31" ht="22.15" customHeight="1">
      <c r="A788" s="12">
        <v>524</v>
      </c>
      <c r="B788" s="12"/>
      <c r="C788" s="13"/>
      <c r="D788" s="13"/>
      <c r="E788" s="13"/>
      <c r="F788" s="14"/>
      <c r="G788" s="15"/>
      <c r="H788" s="15"/>
      <c r="I788" s="24"/>
      <c r="J788" s="17"/>
      <c r="K788" s="18"/>
      <c r="L788" s="19"/>
      <c r="M788" s="31"/>
      <c r="N788" s="21"/>
      <c r="O788" s="30"/>
      <c r="P788" s="30"/>
      <c r="Q788" s="23"/>
      <c r="R788" s="24"/>
      <c r="V788" t="s">
        <v>98</v>
      </c>
      <c r="W788" t="s">
        <v>99</v>
      </c>
    </row>
    <row r="789" spans="1:31" ht="22.15" customHeight="1">
      <c r="A789" s="12">
        <v>525</v>
      </c>
      <c r="B789" s="12"/>
      <c r="C789" s="13"/>
      <c r="D789" s="13"/>
      <c r="E789" s="13"/>
      <c r="F789" s="14"/>
      <c r="G789" s="15"/>
      <c r="H789" s="15"/>
      <c r="I789" s="24"/>
      <c r="J789" s="17"/>
      <c r="K789" s="18"/>
      <c r="L789" s="19"/>
      <c r="M789" s="31"/>
      <c r="N789" s="21"/>
      <c r="O789" s="30"/>
      <c r="P789" s="30"/>
      <c r="Q789" s="23"/>
      <c r="R789" s="24"/>
      <c r="U789" t="s">
        <v>100</v>
      </c>
      <c r="V789" t="s">
        <v>101</v>
      </c>
      <c r="W789" t="s">
        <v>102</v>
      </c>
      <c r="X789" t="s">
        <v>103</v>
      </c>
      <c r="Y789" t="s">
        <v>103</v>
      </c>
      <c r="AA789" t="s">
        <v>104</v>
      </c>
      <c r="AB789" t="s">
        <v>105</v>
      </c>
      <c r="AC789" t="s">
        <v>106</v>
      </c>
      <c r="AD789" t="s">
        <v>40</v>
      </c>
      <c r="AE789" t="s">
        <v>107</v>
      </c>
    </row>
    <row r="790" spans="1:31" ht="22.15" customHeight="1">
      <c r="A790" s="12">
        <v>526</v>
      </c>
      <c r="B790" s="12"/>
      <c r="C790" s="13"/>
      <c r="D790" s="13"/>
      <c r="E790" s="13"/>
      <c r="F790" s="14"/>
      <c r="G790" s="15"/>
      <c r="H790" s="15"/>
      <c r="I790" s="24"/>
      <c r="J790" s="17"/>
      <c r="K790" s="18"/>
      <c r="L790" s="19"/>
      <c r="M790" s="31"/>
      <c r="N790" s="21"/>
      <c r="O790" s="30"/>
      <c r="P790" s="30"/>
      <c r="Q790" s="23"/>
      <c r="R790" s="24"/>
      <c r="X790" t="s">
        <v>108</v>
      </c>
      <c r="Y790" t="s">
        <v>108</v>
      </c>
      <c r="AA790" t="s">
        <v>109</v>
      </c>
      <c r="AB790" t="s">
        <v>110</v>
      </c>
      <c r="AC790" t="s">
        <v>111</v>
      </c>
      <c r="AD790" t="s">
        <v>52</v>
      </c>
    </row>
    <row r="791" spans="1:31" ht="22.15" customHeight="1">
      <c r="A791" s="12">
        <v>527</v>
      </c>
      <c r="B791" s="12"/>
      <c r="C791" s="13"/>
      <c r="D791" s="13"/>
      <c r="E791" s="13"/>
      <c r="F791" s="14"/>
      <c r="G791" s="15"/>
      <c r="H791" s="15"/>
      <c r="I791" s="24"/>
      <c r="J791" s="17"/>
      <c r="K791" s="18"/>
      <c r="L791" s="19"/>
      <c r="M791" s="31"/>
      <c r="N791" s="21"/>
      <c r="O791" s="30"/>
      <c r="P791" s="30"/>
      <c r="Q791" s="23"/>
      <c r="R791" s="24"/>
      <c r="U791" t="s">
        <v>112</v>
      </c>
      <c r="V791" t="s">
        <v>113</v>
      </c>
      <c r="W791" t="s">
        <v>114</v>
      </c>
      <c r="X791" t="s">
        <v>115</v>
      </c>
      <c r="Y791" t="s">
        <v>116</v>
      </c>
      <c r="AA791" t="s">
        <v>117</v>
      </c>
      <c r="AB791" t="s">
        <v>118</v>
      </c>
      <c r="AC791" t="s">
        <v>119</v>
      </c>
      <c r="AD791" t="s">
        <v>68</v>
      </c>
      <c r="AE791" t="s">
        <v>120</v>
      </c>
    </row>
    <row r="792" spans="1:31" ht="22.15" customHeight="1">
      <c r="A792" s="12">
        <v>528</v>
      </c>
      <c r="B792" s="12"/>
      <c r="C792" s="13"/>
      <c r="D792" s="13"/>
      <c r="E792" s="13"/>
      <c r="F792" s="14"/>
      <c r="G792" s="15"/>
      <c r="H792" s="15"/>
      <c r="I792" s="24"/>
      <c r="J792" s="17"/>
      <c r="K792" s="18"/>
      <c r="L792" s="19"/>
      <c r="M792" s="31"/>
      <c r="N792" s="21"/>
      <c r="O792" s="30"/>
      <c r="P792" s="30"/>
      <c r="Q792" s="23"/>
      <c r="R792" s="24"/>
      <c r="V792" t="s">
        <v>121</v>
      </c>
      <c r="W792" t="s">
        <v>122</v>
      </c>
      <c r="AE792" t="s">
        <v>123</v>
      </c>
    </row>
    <row r="793" spans="1:31" ht="22.15" customHeight="1">
      <c r="A793" s="12">
        <v>529</v>
      </c>
      <c r="B793" s="12"/>
      <c r="C793" s="13"/>
      <c r="D793" s="13"/>
      <c r="E793" s="13"/>
      <c r="F793" s="14"/>
      <c r="G793" s="15"/>
      <c r="H793" s="15"/>
      <c r="I793" s="24"/>
      <c r="J793" s="17"/>
      <c r="K793" s="18"/>
      <c r="L793" s="19"/>
      <c r="M793" s="31"/>
      <c r="N793" s="21"/>
      <c r="O793" s="30"/>
      <c r="P793" s="30"/>
      <c r="Q793" s="23"/>
      <c r="R793" s="24"/>
      <c r="U793" t="s">
        <v>124</v>
      </c>
      <c r="V793" t="s">
        <v>125</v>
      </c>
      <c r="W793" t="s">
        <v>126</v>
      </c>
      <c r="X793" t="s">
        <v>127</v>
      </c>
      <c r="Y793" t="s">
        <v>128</v>
      </c>
      <c r="AA793" t="s">
        <v>128</v>
      </c>
      <c r="AB793" t="s">
        <v>129</v>
      </c>
      <c r="AC793" t="s">
        <v>130</v>
      </c>
      <c r="AD793" t="s">
        <v>131</v>
      </c>
      <c r="AE793" t="s">
        <v>132</v>
      </c>
    </row>
    <row r="794" spans="1:31" ht="22.15" customHeight="1">
      <c r="A794" s="12">
        <v>530</v>
      </c>
      <c r="B794" s="12"/>
      <c r="C794" s="13"/>
      <c r="D794" s="13"/>
      <c r="E794" s="13"/>
      <c r="F794" s="14"/>
      <c r="G794" s="15"/>
      <c r="H794" s="15"/>
      <c r="I794" s="24"/>
      <c r="J794" s="17"/>
      <c r="K794" s="18"/>
      <c r="L794" s="19"/>
      <c r="M794" s="31"/>
      <c r="N794" s="21"/>
      <c r="O794" s="30"/>
      <c r="P794" s="30"/>
      <c r="Q794" s="23"/>
      <c r="R794" s="24"/>
      <c r="U794" t="s">
        <v>134</v>
      </c>
      <c r="X794" t="s">
        <v>135</v>
      </c>
      <c r="Y794" t="s">
        <v>136</v>
      </c>
      <c r="AA794" t="s">
        <v>136</v>
      </c>
      <c r="AB794" t="s">
        <v>137</v>
      </c>
      <c r="AC794" t="s">
        <v>138</v>
      </c>
      <c r="AD794" t="s">
        <v>139</v>
      </c>
    </row>
    <row r="795" spans="1:31" ht="22.15" customHeight="1">
      <c r="A795" s="12">
        <v>531</v>
      </c>
      <c r="B795" s="12"/>
      <c r="C795" s="13"/>
      <c r="D795" s="13"/>
      <c r="E795" s="13"/>
      <c r="F795" s="14"/>
      <c r="G795" s="15"/>
      <c r="H795" s="15"/>
      <c r="I795" s="24"/>
      <c r="J795" s="17"/>
      <c r="K795" s="18"/>
      <c r="L795" s="19"/>
      <c r="M795" s="31"/>
      <c r="N795" s="21"/>
      <c r="O795" s="30"/>
      <c r="P795" s="30"/>
      <c r="Q795" s="23"/>
      <c r="R795" s="24"/>
      <c r="U795" t="s">
        <v>140</v>
      </c>
      <c r="V795" t="s">
        <v>141</v>
      </c>
      <c r="W795" t="s">
        <v>142</v>
      </c>
      <c r="X795" t="s">
        <v>143</v>
      </c>
      <c r="Y795" t="s">
        <v>144</v>
      </c>
      <c r="AA795" t="s">
        <v>144</v>
      </c>
      <c r="AB795" t="s">
        <v>145</v>
      </c>
      <c r="AC795" t="s">
        <v>146</v>
      </c>
      <c r="AD795" t="s">
        <v>147</v>
      </c>
    </row>
    <row r="796" spans="1:31" ht="22.15" customHeight="1">
      <c r="A796" s="12">
        <v>532</v>
      </c>
      <c r="B796" s="12"/>
      <c r="C796" s="13"/>
      <c r="D796" s="13"/>
      <c r="E796" s="13"/>
      <c r="F796" s="14"/>
      <c r="G796" s="15"/>
      <c r="H796" s="15"/>
      <c r="I796" s="24"/>
      <c r="J796" s="17"/>
      <c r="K796" s="18"/>
      <c r="L796" s="19"/>
      <c r="M796" s="31"/>
      <c r="N796" s="21"/>
      <c r="O796" s="30"/>
      <c r="P796" s="30"/>
      <c r="Q796" s="23"/>
      <c r="R796" s="24"/>
      <c r="V796" t="s">
        <v>148</v>
      </c>
    </row>
    <row r="797" spans="1:31" ht="22.15" customHeight="1">
      <c r="A797" s="12">
        <v>533</v>
      </c>
      <c r="B797" s="12"/>
      <c r="C797" s="13"/>
      <c r="D797" s="13"/>
      <c r="E797" s="13"/>
      <c r="F797" s="14"/>
      <c r="G797" s="15"/>
      <c r="H797" s="15"/>
      <c r="I797" s="24"/>
      <c r="J797" s="17"/>
      <c r="K797" s="18"/>
      <c r="L797" s="19"/>
      <c r="M797" s="31"/>
      <c r="N797" s="21"/>
      <c r="O797" s="30"/>
      <c r="P797" s="30"/>
      <c r="Q797" s="23"/>
      <c r="R797" s="24"/>
      <c r="U797" t="s">
        <v>149</v>
      </c>
      <c r="W797" t="s">
        <v>150</v>
      </c>
      <c r="X797" t="s">
        <v>151</v>
      </c>
      <c r="Y797" t="s">
        <v>127</v>
      </c>
      <c r="AA797" t="s">
        <v>129</v>
      </c>
      <c r="AB797" t="s">
        <v>130</v>
      </c>
      <c r="AC797" t="s">
        <v>78</v>
      </c>
      <c r="AD797" t="s">
        <v>152</v>
      </c>
    </row>
    <row r="798" spans="1:31" ht="22.15" customHeight="1">
      <c r="A798" s="12">
        <v>534</v>
      </c>
      <c r="B798" s="12"/>
      <c r="C798" s="13"/>
      <c r="D798" s="13"/>
      <c r="E798" s="13"/>
      <c r="F798" s="14"/>
      <c r="G798" s="15"/>
      <c r="H798" s="15"/>
      <c r="I798" s="24"/>
      <c r="J798" s="17"/>
      <c r="K798" s="18"/>
      <c r="L798" s="19"/>
      <c r="M798" s="31"/>
      <c r="N798" s="21"/>
      <c r="O798" s="30"/>
      <c r="P798" s="30"/>
      <c r="Q798" s="23"/>
      <c r="R798" s="24"/>
      <c r="U798" t="s">
        <v>153</v>
      </c>
      <c r="V798" t="s">
        <v>154</v>
      </c>
      <c r="W798" t="s">
        <v>155</v>
      </c>
      <c r="X798" t="s">
        <v>156</v>
      </c>
      <c r="Y798" t="s">
        <v>135</v>
      </c>
      <c r="AA798" t="s">
        <v>137</v>
      </c>
      <c r="AB798" t="s">
        <v>138</v>
      </c>
      <c r="AC798" t="s">
        <v>86</v>
      </c>
      <c r="AD798" t="s">
        <v>157</v>
      </c>
    </row>
    <row r="799" spans="1:31" ht="22.15" customHeight="1">
      <c r="A799" s="12">
        <v>535</v>
      </c>
      <c r="B799" s="12"/>
      <c r="C799" s="13"/>
      <c r="D799" s="13"/>
      <c r="E799" s="13"/>
      <c r="F799" s="14"/>
      <c r="G799" s="15"/>
      <c r="H799" s="15"/>
      <c r="I799" s="24"/>
      <c r="J799" s="17"/>
      <c r="K799" s="18"/>
      <c r="L799" s="19"/>
      <c r="M799" s="31"/>
      <c r="N799" s="21"/>
      <c r="O799" s="30"/>
      <c r="P799" s="30"/>
      <c r="Q799" s="23"/>
      <c r="R799" s="24"/>
      <c r="U799" t="s">
        <v>158</v>
      </c>
      <c r="V799" t="s">
        <v>159</v>
      </c>
      <c r="X799" t="s">
        <v>160</v>
      </c>
      <c r="Y799" t="s">
        <v>143</v>
      </c>
      <c r="AA799" t="s">
        <v>145</v>
      </c>
      <c r="AB799" t="s">
        <v>146</v>
      </c>
      <c r="AC799" t="s">
        <v>96</v>
      </c>
      <c r="AD799" t="s">
        <v>161</v>
      </c>
    </row>
    <row r="800" spans="1:31" ht="22.15" customHeight="1">
      <c r="A800" s="12">
        <v>536</v>
      </c>
      <c r="B800" s="12"/>
      <c r="C800" s="13"/>
      <c r="D800" s="13"/>
      <c r="E800" s="13"/>
      <c r="F800" s="14"/>
      <c r="G800" s="15"/>
      <c r="H800" s="15"/>
      <c r="I800" s="24"/>
      <c r="J800" s="17"/>
      <c r="K800" s="18"/>
      <c r="L800" s="19"/>
      <c r="M800" s="31"/>
      <c r="N800" s="21"/>
      <c r="O800" s="30"/>
      <c r="P800" s="30"/>
      <c r="Q800" s="23"/>
      <c r="R800" s="24"/>
      <c r="V800" t="s">
        <v>162</v>
      </c>
      <c r="W800" t="s">
        <v>163</v>
      </c>
    </row>
    <row r="801" spans="1:32" ht="22.15" customHeight="1">
      <c r="A801" s="12">
        <v>537</v>
      </c>
      <c r="B801" s="12"/>
      <c r="C801" s="13"/>
      <c r="D801" s="13"/>
      <c r="E801" s="13"/>
      <c r="F801" s="14"/>
      <c r="G801" s="15"/>
      <c r="H801" s="15"/>
      <c r="I801" s="24"/>
      <c r="J801" s="17"/>
      <c r="K801" s="18"/>
      <c r="L801" s="19"/>
      <c r="M801" s="31"/>
      <c r="N801" s="21"/>
      <c r="O801" s="30"/>
      <c r="P801" s="30"/>
      <c r="Q801" s="23"/>
      <c r="R801" s="24"/>
      <c r="U801" t="s">
        <v>164</v>
      </c>
      <c r="W801" t="s">
        <v>165</v>
      </c>
      <c r="X801" t="s">
        <v>166</v>
      </c>
      <c r="Y801" t="s">
        <v>151</v>
      </c>
      <c r="AA801" t="s">
        <v>151</v>
      </c>
      <c r="AB801" t="s">
        <v>167</v>
      </c>
      <c r="AC801" t="s">
        <v>168</v>
      </c>
      <c r="AD801" t="s">
        <v>169</v>
      </c>
    </row>
    <row r="802" spans="1:32" ht="22.15" customHeight="1">
      <c r="A802" s="12">
        <v>538</v>
      </c>
      <c r="B802" s="12"/>
      <c r="C802" s="13"/>
      <c r="D802" s="13"/>
      <c r="E802" s="13"/>
      <c r="F802" s="14"/>
      <c r="G802" s="15"/>
      <c r="H802" s="15"/>
      <c r="I802" s="24"/>
      <c r="J802" s="17"/>
      <c r="K802" s="18"/>
      <c r="L802" s="19"/>
      <c r="M802" s="31"/>
      <c r="N802" s="21"/>
      <c r="O802" s="30"/>
      <c r="P802" s="30"/>
      <c r="Q802" s="23"/>
      <c r="R802" s="24"/>
      <c r="U802" t="s">
        <v>170</v>
      </c>
      <c r="V802" t="s">
        <v>171</v>
      </c>
      <c r="W802" t="s">
        <v>172</v>
      </c>
      <c r="Y802" t="s">
        <v>156</v>
      </c>
      <c r="AA802" t="s">
        <v>156</v>
      </c>
      <c r="AB802" t="s">
        <v>173</v>
      </c>
      <c r="AC802" t="s">
        <v>174</v>
      </c>
      <c r="AD802" t="s">
        <v>175</v>
      </c>
    </row>
    <row r="803" spans="1:32" ht="22.15" customHeight="1">
      <c r="A803" s="12">
        <v>539</v>
      </c>
      <c r="B803" s="12"/>
      <c r="C803" s="13"/>
      <c r="D803" s="13"/>
      <c r="E803" s="13"/>
      <c r="F803" s="14"/>
      <c r="G803" s="15"/>
      <c r="H803" s="15"/>
      <c r="I803" s="24"/>
      <c r="J803" s="17"/>
      <c r="K803" s="18"/>
      <c r="L803" s="19"/>
      <c r="M803" s="31"/>
      <c r="N803" s="21"/>
      <c r="O803" s="30"/>
      <c r="P803" s="30"/>
      <c r="Q803" s="23"/>
      <c r="R803" s="24"/>
      <c r="U803" t="s">
        <v>176</v>
      </c>
      <c r="V803" t="s">
        <v>177</v>
      </c>
      <c r="X803" t="s">
        <v>178</v>
      </c>
      <c r="Y803" t="s">
        <v>160</v>
      </c>
      <c r="AA803" t="s">
        <v>160</v>
      </c>
      <c r="AB803" t="s">
        <v>179</v>
      </c>
      <c r="AC803" t="s">
        <v>180</v>
      </c>
      <c r="AD803" t="s">
        <v>181</v>
      </c>
    </row>
    <row r="804" spans="1:32" ht="22.15" customHeight="1">
      <c r="A804" s="12">
        <v>540</v>
      </c>
      <c r="B804" s="12"/>
      <c r="C804" s="13"/>
      <c r="D804" s="13"/>
      <c r="E804" s="13"/>
      <c r="F804" s="14"/>
      <c r="G804" s="15"/>
      <c r="H804" s="15"/>
      <c r="I804" s="24"/>
      <c r="J804" s="17"/>
      <c r="K804" s="18"/>
      <c r="L804" s="19"/>
      <c r="M804" s="31"/>
      <c r="N804" s="21"/>
      <c r="O804" s="30"/>
      <c r="P804" s="30"/>
      <c r="Q804" s="23"/>
      <c r="R804" s="24"/>
      <c r="V804" t="s">
        <v>184</v>
      </c>
      <c r="W804" t="s">
        <v>185</v>
      </c>
      <c r="X804" t="s">
        <v>186</v>
      </c>
    </row>
    <row r="805" spans="1:32" ht="18" customHeight="1">
      <c r="A805" s="47" t="s">
        <v>302</v>
      </c>
      <c r="B805" s="48"/>
      <c r="C805" s="48"/>
      <c r="D805" s="48"/>
      <c r="E805" s="49"/>
      <c r="F805" s="50" t="s">
        <v>183</v>
      </c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2"/>
      <c r="U805" t="s">
        <v>320</v>
      </c>
      <c r="W805" t="s">
        <v>321</v>
      </c>
      <c r="X805" t="s">
        <v>322</v>
      </c>
      <c r="Y805" t="s">
        <v>323</v>
      </c>
      <c r="AA805" s="16" t="s">
        <v>167</v>
      </c>
      <c r="AB805" s="16" t="s">
        <v>168</v>
      </c>
      <c r="AC805" s="16" t="s">
        <v>131</v>
      </c>
      <c r="AD805" s="16" t="s">
        <v>253</v>
      </c>
    </row>
    <row r="806" spans="1:32" ht="18" customHeight="1">
      <c r="A806" s="12">
        <v>1</v>
      </c>
      <c r="B806" s="47" t="s">
        <v>187</v>
      </c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9"/>
      <c r="AA806" s="27" t="s">
        <v>188</v>
      </c>
      <c r="AB806" s="27" t="s">
        <v>189</v>
      </c>
      <c r="AC806" s="27" t="s">
        <v>190</v>
      </c>
    </row>
    <row r="807" spans="1:32" ht="18" customHeight="1">
      <c r="A807" s="23">
        <v>2</v>
      </c>
      <c r="B807" s="53" t="s">
        <v>191</v>
      </c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5"/>
      <c r="U807" t="s">
        <v>192</v>
      </c>
      <c r="V807" s="16" t="s">
        <v>193</v>
      </c>
      <c r="W807" t="s">
        <v>194</v>
      </c>
      <c r="Y807" t="s">
        <v>195</v>
      </c>
      <c r="AA807" s="16" t="s">
        <v>173</v>
      </c>
      <c r="AB807" s="16" t="s">
        <v>174</v>
      </c>
      <c r="AC807" s="16" t="s">
        <v>139</v>
      </c>
      <c r="AD807" s="16" t="s">
        <v>196</v>
      </c>
    </row>
    <row r="808" spans="1:32" ht="18" customHeight="1">
      <c r="A808" s="23">
        <v>3</v>
      </c>
      <c r="B808" s="47" t="s">
        <v>197</v>
      </c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9"/>
      <c r="V808" s="16" t="s">
        <v>198</v>
      </c>
      <c r="X808" s="16" t="s">
        <v>199</v>
      </c>
      <c r="Y808" t="s">
        <v>200</v>
      </c>
      <c r="AA808" s="16" t="s">
        <v>179</v>
      </c>
      <c r="AB808" s="16" t="s">
        <v>180</v>
      </c>
      <c r="AC808" s="16" t="s">
        <v>147</v>
      </c>
      <c r="AD808" s="16" t="s">
        <v>201</v>
      </c>
    </row>
    <row r="809" spans="1:32" ht="18" customHeight="1">
      <c r="A809" s="37" t="s">
        <v>202</v>
      </c>
      <c r="B809" s="38"/>
      <c r="C809" s="39">
        <f>C479</f>
        <v>0</v>
      </c>
      <c r="D809" s="39"/>
      <c r="E809" s="37" t="s">
        <v>203</v>
      </c>
      <c r="F809" s="40"/>
      <c r="G809" s="41">
        <f>G479</f>
        <v>0</v>
      </c>
      <c r="H809" s="42"/>
      <c r="I809" s="42"/>
      <c r="J809" s="42"/>
      <c r="K809" s="28" t="s">
        <v>204</v>
      </c>
      <c r="L809" s="43" t="s">
        <v>205</v>
      </c>
      <c r="M809" s="43"/>
      <c r="N809" s="43"/>
      <c r="O809" s="43"/>
      <c r="P809" s="43"/>
      <c r="Q809" s="43"/>
      <c r="R809" s="43"/>
      <c r="U809" t="s">
        <v>206</v>
      </c>
      <c r="W809" s="16" t="s">
        <v>207</v>
      </c>
      <c r="X809" s="16" t="s">
        <v>208</v>
      </c>
    </row>
    <row r="810" spans="1:32" ht="18" customHeight="1">
      <c r="A810" s="37" t="s">
        <v>209</v>
      </c>
      <c r="B810" s="38"/>
      <c r="C810" s="39">
        <f>C480</f>
        <v>0</v>
      </c>
      <c r="D810" s="39"/>
      <c r="E810" s="37" t="s">
        <v>210</v>
      </c>
      <c r="F810" s="40"/>
      <c r="G810" s="41">
        <f>G480</f>
        <v>0</v>
      </c>
      <c r="H810" s="42"/>
      <c r="I810" s="42"/>
      <c r="J810" s="42"/>
      <c r="K810" s="28" t="s">
        <v>204</v>
      </c>
      <c r="L810" s="43" t="s">
        <v>205</v>
      </c>
      <c r="M810" s="43"/>
      <c r="N810" s="43"/>
      <c r="O810" s="43"/>
      <c r="P810" s="43"/>
      <c r="Q810" s="43"/>
      <c r="R810" s="43"/>
      <c r="V810" s="16" t="s">
        <v>211</v>
      </c>
      <c r="W810" s="16" t="s">
        <v>212</v>
      </c>
      <c r="Y810" t="s">
        <v>213</v>
      </c>
      <c r="AA810" s="16" t="s">
        <v>214</v>
      </c>
      <c r="AB810" s="16" t="s">
        <v>214</v>
      </c>
      <c r="AC810" s="16" t="s">
        <v>215</v>
      </c>
      <c r="AD810" s="16" t="s">
        <v>216</v>
      </c>
    </row>
    <row r="811" spans="1:32" ht="48" customHeight="1">
      <c r="A811" s="69" t="s">
        <v>0</v>
      </c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1" t="s">
        <v>1</v>
      </c>
      <c r="M811" s="71"/>
      <c r="N811" s="71"/>
      <c r="O811" s="71"/>
      <c r="P811" s="71"/>
      <c r="Q811" s="1" t="s">
        <v>2</v>
      </c>
      <c r="R811" s="2" t="s">
        <v>3</v>
      </c>
      <c r="S811" s="3"/>
      <c r="T811" s="3" t="s">
        <v>4</v>
      </c>
      <c r="U811" s="4" t="s">
        <v>5</v>
      </c>
      <c r="V811" s="4" t="s">
        <v>6</v>
      </c>
      <c r="W811" s="4" t="s">
        <v>7</v>
      </c>
      <c r="X811" s="4" t="s">
        <v>8</v>
      </c>
      <c r="Y811" s="4" t="s">
        <v>9</v>
      </c>
      <c r="Z811" s="4"/>
      <c r="AA811" s="4" t="s">
        <v>10</v>
      </c>
      <c r="AB811" s="4" t="s">
        <v>11</v>
      </c>
      <c r="AC811" s="4" t="s">
        <v>12</v>
      </c>
      <c r="AD811" s="4" t="s">
        <v>13</v>
      </c>
      <c r="AE811" s="4" t="s">
        <v>14</v>
      </c>
      <c r="AF811" s="4" t="s">
        <v>15</v>
      </c>
    </row>
    <row r="812" spans="1:32" s="8" customFormat="1" ht="18" customHeight="1">
      <c r="A812" s="5" t="s">
        <v>16</v>
      </c>
      <c r="B812" s="44">
        <f>B452</f>
        <v>0</v>
      </c>
      <c r="C812" s="45"/>
      <c r="D812" s="45"/>
      <c r="E812" s="6" t="str">
        <f>E452</f>
        <v>Version:1</v>
      </c>
      <c r="F812" s="72" t="s">
        <v>18</v>
      </c>
      <c r="G812" s="74" t="s">
        <v>19</v>
      </c>
      <c r="H812" s="74" t="s">
        <v>20</v>
      </c>
      <c r="I812" s="77" t="s">
        <v>21</v>
      </c>
      <c r="J812" s="62" t="s">
        <v>22</v>
      </c>
      <c r="K812" s="79" t="s">
        <v>23</v>
      </c>
      <c r="L812" s="62" t="s">
        <v>24</v>
      </c>
      <c r="M812" s="56" t="s">
        <v>25</v>
      </c>
      <c r="N812" s="59" t="s">
        <v>26</v>
      </c>
      <c r="O812" s="62" t="s">
        <v>27</v>
      </c>
      <c r="P812" s="65" t="s">
        <v>28</v>
      </c>
      <c r="Q812" s="66" t="s">
        <v>29</v>
      </c>
      <c r="R812" s="68" t="s">
        <v>30</v>
      </c>
      <c r="S812"/>
      <c r="T812" s="7" t="str">
        <f>IF(C845&gt;18,IF(C845=20,Nennweite20,IF(C845=60,U814,IF(C845=50,Nennweite50,IF(C845=25,Nennweite25,IF(C845=32,Nennweite32,IF(C845=40,Nennweite40,"&gt;")))))),IF(C845=8,Nennweite8,IF(C845=6,Nennweite6,IF(C845=10,Nennweite10,IF(C845=18,Nennweite18,IF(C845=16,Nennweite16,IF(C845=12,Nennweite12,"")))))))</f>
        <v/>
      </c>
      <c r="U812" t="s">
        <v>31</v>
      </c>
      <c r="V812" t="s">
        <v>32</v>
      </c>
      <c r="W812" t="s">
        <v>33</v>
      </c>
      <c r="X812" t="s">
        <v>34</v>
      </c>
      <c r="Y812" t="s">
        <v>35</v>
      </c>
      <c r="Z812"/>
      <c r="AA812" t="s">
        <v>36</v>
      </c>
      <c r="AB812" t="s">
        <v>37</v>
      </c>
      <c r="AC812" t="s">
        <v>38</v>
      </c>
      <c r="AD812" t="s">
        <v>39</v>
      </c>
      <c r="AE812" t="s">
        <v>40</v>
      </c>
      <c r="AF812" t="s">
        <v>41</v>
      </c>
    </row>
    <row r="813" spans="1:32" ht="18" customHeight="1">
      <c r="A813" s="5" t="s">
        <v>42</v>
      </c>
      <c r="B813" s="44">
        <f>B453</f>
        <v>0</v>
      </c>
      <c r="C813" s="45"/>
      <c r="D813" s="45"/>
      <c r="E813" s="46"/>
      <c r="F813" s="72"/>
      <c r="G813" s="75"/>
      <c r="H813" s="75"/>
      <c r="I813" s="77"/>
      <c r="J813" s="63"/>
      <c r="K813" s="80"/>
      <c r="L813" s="63"/>
      <c r="M813" s="57"/>
      <c r="N813" s="60"/>
      <c r="O813" s="63"/>
      <c r="P813" s="63"/>
      <c r="Q813" s="66"/>
      <c r="R813" s="66"/>
      <c r="U813" t="s">
        <v>43</v>
      </c>
      <c r="V813" t="s">
        <v>44</v>
      </c>
      <c r="W813" t="s">
        <v>45</v>
      </c>
      <c r="X813" t="s">
        <v>46</v>
      </c>
      <c r="Y813" t="s">
        <v>47</v>
      </c>
      <c r="AA813" t="s">
        <v>48</v>
      </c>
      <c r="AB813" t="s">
        <v>49</v>
      </c>
      <c r="AC813" t="s">
        <v>50</v>
      </c>
      <c r="AD813" t="s">
        <v>51</v>
      </c>
      <c r="AE813" t="s">
        <v>52</v>
      </c>
      <c r="AF813" t="s">
        <v>53</v>
      </c>
    </row>
    <row r="814" spans="1:32" ht="18" customHeight="1" thickBot="1">
      <c r="A814" s="9" t="s">
        <v>54</v>
      </c>
      <c r="B814" s="10" t="s">
        <v>55</v>
      </c>
      <c r="C814" s="10" t="s">
        <v>56</v>
      </c>
      <c r="D814" s="11" t="s">
        <v>57</v>
      </c>
      <c r="E814" s="9" t="s">
        <v>58</v>
      </c>
      <c r="F814" s="73"/>
      <c r="G814" s="76"/>
      <c r="H814" s="76"/>
      <c r="I814" s="78"/>
      <c r="J814" s="64"/>
      <c r="K814" s="81"/>
      <c r="L814" s="64"/>
      <c r="M814" s="58"/>
      <c r="N814" s="61"/>
      <c r="O814" s="64"/>
      <c r="P814" s="64"/>
      <c r="Q814" s="67"/>
      <c r="R814" s="67"/>
      <c r="U814" t="s">
        <v>59</v>
      </c>
      <c r="V814" t="s">
        <v>60</v>
      </c>
      <c r="W814" t="s">
        <v>61</v>
      </c>
      <c r="X814" t="s">
        <v>62</v>
      </c>
      <c r="Y814" t="s">
        <v>63</v>
      </c>
      <c r="AA814" t="s">
        <v>64</v>
      </c>
      <c r="AB814" t="s">
        <v>65</v>
      </c>
      <c r="AC814" t="s">
        <v>66</v>
      </c>
      <c r="AD814" t="s">
        <v>67</v>
      </c>
      <c r="AE814" t="s">
        <v>68</v>
      </c>
      <c r="AF814" t="s">
        <v>69</v>
      </c>
    </row>
    <row r="815" spans="1:32" ht="22.15" customHeight="1">
      <c r="A815" s="12">
        <v>541</v>
      </c>
      <c r="B815" s="13"/>
      <c r="C815" s="13"/>
      <c r="D815" s="13"/>
      <c r="E815" s="13"/>
      <c r="F815" s="14"/>
      <c r="G815" s="15"/>
      <c r="H815" s="15"/>
      <c r="I815" s="24"/>
      <c r="J815" s="17"/>
      <c r="K815" s="18"/>
      <c r="L815" s="19"/>
      <c r="M815" s="31"/>
      <c r="N815" s="21"/>
      <c r="O815" s="30"/>
      <c r="P815" s="30"/>
      <c r="Q815" s="23"/>
      <c r="R815" s="24"/>
      <c r="U815" t="s">
        <v>70</v>
      </c>
      <c r="V815" t="s">
        <v>71</v>
      </c>
      <c r="W815" t="s">
        <v>72</v>
      </c>
      <c r="X815" t="s">
        <v>73</v>
      </c>
      <c r="Y815" t="s">
        <v>74</v>
      </c>
      <c r="AA815" t="s">
        <v>75</v>
      </c>
      <c r="AB815" t="s">
        <v>76</v>
      </c>
      <c r="AC815" t="s">
        <v>77</v>
      </c>
      <c r="AD815" t="s">
        <v>78</v>
      </c>
      <c r="AE815" t="s">
        <v>79</v>
      </c>
    </row>
    <row r="816" spans="1:32" ht="22.15" customHeight="1">
      <c r="A816" s="12">
        <v>542</v>
      </c>
      <c r="B816" s="13"/>
      <c r="C816" s="13"/>
      <c r="D816" s="13"/>
      <c r="E816" s="13"/>
      <c r="F816" s="14"/>
      <c r="G816" s="15"/>
      <c r="H816" s="15"/>
      <c r="I816" s="24"/>
      <c r="J816" s="17"/>
      <c r="K816" s="18"/>
      <c r="L816" s="19"/>
      <c r="M816" s="31"/>
      <c r="N816" s="21"/>
      <c r="O816" s="30"/>
      <c r="P816" s="30"/>
      <c r="Q816" s="23"/>
      <c r="R816" s="24"/>
      <c r="U816" t="s">
        <v>80</v>
      </c>
      <c r="X816" t="s">
        <v>81</v>
      </c>
      <c r="Y816" t="s">
        <v>82</v>
      </c>
      <c r="AA816" t="s">
        <v>83</v>
      </c>
      <c r="AB816" t="s">
        <v>84</v>
      </c>
      <c r="AC816" t="s">
        <v>85</v>
      </c>
      <c r="AD816" t="s">
        <v>86</v>
      </c>
      <c r="AE816" t="s">
        <v>87</v>
      </c>
    </row>
    <row r="817" spans="1:31" ht="22.15" customHeight="1">
      <c r="A817" s="12">
        <v>543</v>
      </c>
      <c r="B817" s="13"/>
      <c r="C817" s="13"/>
      <c r="D817" s="13"/>
      <c r="E817" s="13"/>
      <c r="F817" s="14"/>
      <c r="G817" s="15"/>
      <c r="H817" s="15"/>
      <c r="I817" s="24"/>
      <c r="J817" s="17"/>
      <c r="K817" s="18"/>
      <c r="L817" s="19"/>
      <c r="M817" s="31"/>
      <c r="N817" s="21"/>
      <c r="O817" s="30"/>
      <c r="P817" s="30"/>
      <c r="Q817" s="23"/>
      <c r="R817" s="24"/>
      <c r="U817" t="s">
        <v>88</v>
      </c>
      <c r="V817" t="s">
        <v>89</v>
      </c>
      <c r="W817" t="s">
        <v>90</v>
      </c>
      <c r="X817" t="s">
        <v>91</v>
      </c>
      <c r="Y817" t="s">
        <v>92</v>
      </c>
      <c r="AA817" t="s">
        <v>93</v>
      </c>
      <c r="AB817" t="s">
        <v>94</v>
      </c>
      <c r="AC817" t="s">
        <v>95</v>
      </c>
      <c r="AD817" t="s">
        <v>96</v>
      </c>
      <c r="AE817" t="s">
        <v>97</v>
      </c>
    </row>
    <row r="818" spans="1:31" ht="22.15" customHeight="1">
      <c r="A818" s="12">
        <v>544</v>
      </c>
      <c r="B818" s="12"/>
      <c r="C818" s="13"/>
      <c r="D818" s="13"/>
      <c r="E818" s="13"/>
      <c r="F818" s="14"/>
      <c r="G818" s="15"/>
      <c r="H818" s="15"/>
      <c r="I818" s="24"/>
      <c r="J818" s="17"/>
      <c r="K818" s="18"/>
      <c r="L818" s="19"/>
      <c r="M818" s="31"/>
      <c r="N818" s="21"/>
      <c r="O818" s="30"/>
      <c r="P818" s="30"/>
      <c r="Q818" s="23"/>
      <c r="R818" s="24"/>
      <c r="V818" t="s">
        <v>98</v>
      </c>
      <c r="W818" t="s">
        <v>99</v>
      </c>
    </row>
    <row r="819" spans="1:31" ht="22.15" customHeight="1">
      <c r="A819" s="12">
        <v>545</v>
      </c>
      <c r="B819" s="12"/>
      <c r="C819" s="13"/>
      <c r="D819" s="13"/>
      <c r="E819" s="13"/>
      <c r="F819" s="14"/>
      <c r="G819" s="15"/>
      <c r="H819" s="15"/>
      <c r="I819" s="24"/>
      <c r="J819" s="17"/>
      <c r="K819" s="18"/>
      <c r="L819" s="19"/>
      <c r="M819" s="31"/>
      <c r="N819" s="21"/>
      <c r="O819" s="30"/>
      <c r="P819" s="30"/>
      <c r="Q819" s="23"/>
      <c r="R819" s="24"/>
      <c r="U819" t="s">
        <v>100</v>
      </c>
      <c r="V819" t="s">
        <v>101</v>
      </c>
      <c r="W819" t="s">
        <v>102</v>
      </c>
      <c r="X819" t="s">
        <v>103</v>
      </c>
      <c r="Y819" t="s">
        <v>103</v>
      </c>
      <c r="AA819" t="s">
        <v>104</v>
      </c>
      <c r="AB819" t="s">
        <v>105</v>
      </c>
      <c r="AC819" t="s">
        <v>106</v>
      </c>
      <c r="AD819" t="s">
        <v>40</v>
      </c>
      <c r="AE819" t="s">
        <v>107</v>
      </c>
    </row>
    <row r="820" spans="1:31" ht="22.15" customHeight="1">
      <c r="A820" s="12">
        <v>546</v>
      </c>
      <c r="B820" s="12"/>
      <c r="C820" s="13"/>
      <c r="D820" s="13"/>
      <c r="E820" s="13"/>
      <c r="F820" s="14"/>
      <c r="G820" s="15"/>
      <c r="H820" s="15"/>
      <c r="I820" s="24"/>
      <c r="J820" s="17"/>
      <c r="K820" s="18"/>
      <c r="L820" s="19"/>
      <c r="M820" s="31"/>
      <c r="N820" s="21"/>
      <c r="O820" s="30"/>
      <c r="P820" s="30"/>
      <c r="Q820" s="23"/>
      <c r="R820" s="24"/>
      <c r="X820" t="s">
        <v>108</v>
      </c>
      <c r="Y820" t="s">
        <v>108</v>
      </c>
      <c r="AA820" t="s">
        <v>109</v>
      </c>
      <c r="AB820" t="s">
        <v>110</v>
      </c>
      <c r="AC820" t="s">
        <v>111</v>
      </c>
      <c r="AD820" t="s">
        <v>52</v>
      </c>
    </row>
    <row r="821" spans="1:31" ht="22.15" customHeight="1">
      <c r="A821" s="12">
        <v>547</v>
      </c>
      <c r="B821" s="12"/>
      <c r="C821" s="13"/>
      <c r="D821" s="13"/>
      <c r="E821" s="13"/>
      <c r="F821" s="14"/>
      <c r="G821" s="15"/>
      <c r="H821" s="15"/>
      <c r="I821" s="24"/>
      <c r="J821" s="17"/>
      <c r="K821" s="18"/>
      <c r="L821" s="19"/>
      <c r="M821" s="31"/>
      <c r="N821" s="21"/>
      <c r="O821" s="30"/>
      <c r="P821" s="30"/>
      <c r="Q821" s="23"/>
      <c r="R821" s="24"/>
      <c r="U821" t="s">
        <v>112</v>
      </c>
      <c r="V821" t="s">
        <v>113</v>
      </c>
      <c r="W821" t="s">
        <v>114</v>
      </c>
      <c r="X821" t="s">
        <v>115</v>
      </c>
      <c r="Y821" t="s">
        <v>116</v>
      </c>
      <c r="AA821" t="s">
        <v>117</v>
      </c>
      <c r="AB821" t="s">
        <v>118</v>
      </c>
      <c r="AC821" t="s">
        <v>119</v>
      </c>
      <c r="AD821" t="s">
        <v>68</v>
      </c>
      <c r="AE821" t="s">
        <v>120</v>
      </c>
    </row>
    <row r="822" spans="1:31" ht="22.15" customHeight="1">
      <c r="A822" s="12">
        <v>548</v>
      </c>
      <c r="B822" s="12"/>
      <c r="C822" s="13"/>
      <c r="D822" s="13"/>
      <c r="E822" s="13"/>
      <c r="F822" s="14"/>
      <c r="G822" s="15"/>
      <c r="H822" s="15"/>
      <c r="I822" s="24"/>
      <c r="J822" s="17"/>
      <c r="K822" s="18"/>
      <c r="L822" s="19"/>
      <c r="M822" s="31"/>
      <c r="N822" s="21"/>
      <c r="O822" s="30"/>
      <c r="P822" s="30"/>
      <c r="Q822" s="23"/>
      <c r="R822" s="24"/>
      <c r="V822" t="s">
        <v>121</v>
      </c>
      <c r="W822" t="s">
        <v>122</v>
      </c>
      <c r="AE822" t="s">
        <v>123</v>
      </c>
    </row>
    <row r="823" spans="1:31" ht="22.15" customHeight="1">
      <c r="A823" s="12">
        <v>549</v>
      </c>
      <c r="B823" s="12"/>
      <c r="C823" s="13"/>
      <c r="D823" s="13"/>
      <c r="E823" s="13"/>
      <c r="F823" s="14"/>
      <c r="G823" s="15"/>
      <c r="H823" s="15"/>
      <c r="I823" s="24"/>
      <c r="J823" s="17"/>
      <c r="K823" s="18"/>
      <c r="L823" s="19"/>
      <c r="M823" s="31"/>
      <c r="N823" s="21"/>
      <c r="O823" s="30"/>
      <c r="P823" s="30"/>
      <c r="Q823" s="23"/>
      <c r="R823" s="24"/>
      <c r="U823" t="s">
        <v>124</v>
      </c>
      <c r="V823" t="s">
        <v>125</v>
      </c>
      <c r="W823" t="s">
        <v>126</v>
      </c>
      <c r="X823" t="s">
        <v>127</v>
      </c>
      <c r="Y823" t="s">
        <v>128</v>
      </c>
      <c r="AA823" t="s">
        <v>128</v>
      </c>
      <c r="AB823" t="s">
        <v>129</v>
      </c>
      <c r="AC823" t="s">
        <v>130</v>
      </c>
      <c r="AD823" t="s">
        <v>131</v>
      </c>
      <c r="AE823" t="s">
        <v>132</v>
      </c>
    </row>
    <row r="824" spans="1:31" ht="22.15" customHeight="1">
      <c r="A824" s="12">
        <v>550</v>
      </c>
      <c r="B824" s="12"/>
      <c r="C824" s="13"/>
      <c r="D824" s="13"/>
      <c r="E824" s="13"/>
      <c r="F824" s="14"/>
      <c r="G824" s="15"/>
      <c r="H824" s="15"/>
      <c r="I824" s="24"/>
      <c r="J824" s="17"/>
      <c r="K824" s="18"/>
      <c r="L824" s="19"/>
      <c r="M824" s="31"/>
      <c r="N824" s="21"/>
      <c r="O824" s="30"/>
      <c r="P824" s="30"/>
      <c r="Q824" s="23"/>
      <c r="R824" s="24"/>
      <c r="U824" t="s">
        <v>134</v>
      </c>
      <c r="X824" t="s">
        <v>135</v>
      </c>
      <c r="Y824" t="s">
        <v>136</v>
      </c>
      <c r="AA824" t="s">
        <v>136</v>
      </c>
      <c r="AB824" t="s">
        <v>137</v>
      </c>
      <c r="AC824" t="s">
        <v>138</v>
      </c>
      <c r="AD824" t="s">
        <v>139</v>
      </c>
    </row>
    <row r="825" spans="1:31" ht="22.15" customHeight="1">
      <c r="A825" s="12">
        <v>551</v>
      </c>
      <c r="B825" s="12"/>
      <c r="C825" s="13"/>
      <c r="D825" s="13"/>
      <c r="E825" s="13"/>
      <c r="F825" s="14"/>
      <c r="G825" s="15"/>
      <c r="H825" s="15"/>
      <c r="I825" s="24"/>
      <c r="J825" s="17"/>
      <c r="K825" s="18"/>
      <c r="L825" s="19"/>
      <c r="M825" s="31"/>
      <c r="N825" s="21"/>
      <c r="O825" s="30"/>
      <c r="P825" s="30"/>
      <c r="Q825" s="23"/>
      <c r="R825" s="24"/>
      <c r="U825" t="s">
        <v>140</v>
      </c>
      <c r="V825" t="s">
        <v>141</v>
      </c>
      <c r="W825" t="s">
        <v>142</v>
      </c>
      <c r="X825" t="s">
        <v>143</v>
      </c>
      <c r="Y825" t="s">
        <v>144</v>
      </c>
      <c r="AA825" t="s">
        <v>144</v>
      </c>
      <c r="AB825" t="s">
        <v>145</v>
      </c>
      <c r="AC825" t="s">
        <v>146</v>
      </c>
      <c r="AD825" t="s">
        <v>147</v>
      </c>
    </row>
    <row r="826" spans="1:31" ht="22.15" customHeight="1">
      <c r="A826" s="12">
        <v>552</v>
      </c>
      <c r="B826" s="12"/>
      <c r="C826" s="13"/>
      <c r="D826" s="13"/>
      <c r="E826" s="13"/>
      <c r="F826" s="14"/>
      <c r="G826" s="15"/>
      <c r="H826" s="15"/>
      <c r="I826" s="24"/>
      <c r="J826" s="17"/>
      <c r="K826" s="18"/>
      <c r="L826" s="19"/>
      <c r="M826" s="31"/>
      <c r="N826" s="21"/>
      <c r="O826" s="30"/>
      <c r="P826" s="30"/>
      <c r="Q826" s="23"/>
      <c r="R826" s="24"/>
      <c r="V826" t="s">
        <v>148</v>
      </c>
    </row>
    <row r="827" spans="1:31" ht="22.15" customHeight="1">
      <c r="A827" s="12">
        <v>553</v>
      </c>
      <c r="B827" s="12"/>
      <c r="C827" s="13"/>
      <c r="D827" s="13"/>
      <c r="E827" s="13"/>
      <c r="F827" s="14"/>
      <c r="G827" s="15"/>
      <c r="H827" s="15"/>
      <c r="I827" s="24"/>
      <c r="J827" s="17"/>
      <c r="K827" s="18"/>
      <c r="L827" s="19"/>
      <c r="M827" s="31"/>
      <c r="N827" s="21"/>
      <c r="O827" s="30"/>
      <c r="P827" s="30"/>
      <c r="Q827" s="23"/>
      <c r="R827" s="24"/>
      <c r="U827" t="s">
        <v>149</v>
      </c>
      <c r="W827" t="s">
        <v>150</v>
      </c>
      <c r="X827" t="s">
        <v>151</v>
      </c>
      <c r="Y827" t="s">
        <v>127</v>
      </c>
      <c r="AA827" t="s">
        <v>129</v>
      </c>
      <c r="AB827" t="s">
        <v>130</v>
      </c>
      <c r="AC827" t="s">
        <v>78</v>
      </c>
      <c r="AD827" t="s">
        <v>152</v>
      </c>
    </row>
    <row r="828" spans="1:31" ht="22.15" customHeight="1">
      <c r="A828" s="12">
        <v>554</v>
      </c>
      <c r="B828" s="12"/>
      <c r="C828" s="13"/>
      <c r="D828" s="13"/>
      <c r="E828" s="13"/>
      <c r="F828" s="14"/>
      <c r="G828" s="15"/>
      <c r="H828" s="15"/>
      <c r="I828" s="24"/>
      <c r="J828" s="17"/>
      <c r="K828" s="18"/>
      <c r="L828" s="19"/>
      <c r="M828" s="31"/>
      <c r="N828" s="21"/>
      <c r="O828" s="30"/>
      <c r="P828" s="30"/>
      <c r="Q828" s="23"/>
      <c r="R828" s="24"/>
      <c r="U828" t="s">
        <v>153</v>
      </c>
      <c r="V828" t="s">
        <v>154</v>
      </c>
      <c r="W828" t="s">
        <v>155</v>
      </c>
      <c r="X828" t="s">
        <v>156</v>
      </c>
      <c r="Y828" t="s">
        <v>135</v>
      </c>
      <c r="AA828" t="s">
        <v>137</v>
      </c>
      <c r="AB828" t="s">
        <v>138</v>
      </c>
      <c r="AC828" t="s">
        <v>86</v>
      </c>
      <c r="AD828" t="s">
        <v>157</v>
      </c>
    </row>
    <row r="829" spans="1:31" ht="22.15" customHeight="1">
      <c r="A829" s="12">
        <v>555</v>
      </c>
      <c r="B829" s="12"/>
      <c r="C829" s="13"/>
      <c r="D829" s="13"/>
      <c r="E829" s="13"/>
      <c r="F829" s="14"/>
      <c r="G829" s="15"/>
      <c r="H829" s="15"/>
      <c r="I829" s="24"/>
      <c r="J829" s="17"/>
      <c r="K829" s="18"/>
      <c r="L829" s="19"/>
      <c r="M829" s="31"/>
      <c r="N829" s="21"/>
      <c r="O829" s="30"/>
      <c r="P829" s="30"/>
      <c r="Q829" s="23"/>
      <c r="R829" s="24"/>
      <c r="U829" t="s">
        <v>158</v>
      </c>
      <c r="V829" t="s">
        <v>159</v>
      </c>
      <c r="X829" t="s">
        <v>160</v>
      </c>
      <c r="Y829" t="s">
        <v>143</v>
      </c>
      <c r="AA829" t="s">
        <v>145</v>
      </c>
      <c r="AB829" t="s">
        <v>146</v>
      </c>
      <c r="AC829" t="s">
        <v>96</v>
      </c>
      <c r="AD829" t="s">
        <v>161</v>
      </c>
    </row>
    <row r="830" spans="1:31" ht="22.15" customHeight="1">
      <c r="A830" s="12">
        <v>556</v>
      </c>
      <c r="B830" s="12"/>
      <c r="C830" s="13"/>
      <c r="D830" s="13"/>
      <c r="E830" s="13"/>
      <c r="F830" s="14"/>
      <c r="G830" s="15"/>
      <c r="H830" s="15"/>
      <c r="I830" s="24"/>
      <c r="J830" s="17"/>
      <c r="K830" s="18"/>
      <c r="L830" s="19"/>
      <c r="M830" s="31"/>
      <c r="N830" s="21"/>
      <c r="O830" s="30"/>
      <c r="P830" s="30"/>
      <c r="Q830" s="23"/>
      <c r="R830" s="24"/>
      <c r="V830" t="s">
        <v>162</v>
      </c>
      <c r="W830" t="s">
        <v>163</v>
      </c>
    </row>
    <row r="831" spans="1:31" ht="22.15" customHeight="1">
      <c r="A831" s="12">
        <v>557</v>
      </c>
      <c r="B831" s="12"/>
      <c r="C831" s="13"/>
      <c r="D831" s="13"/>
      <c r="E831" s="13"/>
      <c r="F831" s="14"/>
      <c r="G831" s="15"/>
      <c r="H831" s="15"/>
      <c r="I831" s="24"/>
      <c r="J831" s="17"/>
      <c r="K831" s="18"/>
      <c r="L831" s="19"/>
      <c r="M831" s="31"/>
      <c r="N831" s="21"/>
      <c r="O831" s="30"/>
      <c r="P831" s="30"/>
      <c r="Q831" s="23"/>
      <c r="R831" s="24"/>
      <c r="U831" t="s">
        <v>164</v>
      </c>
      <c r="W831" t="s">
        <v>165</v>
      </c>
      <c r="X831" t="s">
        <v>166</v>
      </c>
      <c r="Y831" t="s">
        <v>151</v>
      </c>
      <c r="AA831" t="s">
        <v>151</v>
      </c>
      <c r="AB831" t="s">
        <v>167</v>
      </c>
      <c r="AC831" t="s">
        <v>168</v>
      </c>
      <c r="AD831" t="s">
        <v>169</v>
      </c>
    </row>
    <row r="832" spans="1:31" ht="22.15" customHeight="1">
      <c r="A832" s="12">
        <v>558</v>
      </c>
      <c r="B832" s="12"/>
      <c r="C832" s="13"/>
      <c r="D832" s="13"/>
      <c r="E832" s="13"/>
      <c r="F832" s="14"/>
      <c r="G832" s="15"/>
      <c r="H832" s="15"/>
      <c r="I832" s="24"/>
      <c r="J832" s="17"/>
      <c r="K832" s="18"/>
      <c r="L832" s="19"/>
      <c r="M832" s="31"/>
      <c r="N832" s="21"/>
      <c r="O832" s="30"/>
      <c r="P832" s="30"/>
      <c r="Q832" s="23"/>
      <c r="R832" s="24"/>
      <c r="U832" t="s">
        <v>170</v>
      </c>
      <c r="V832" t="s">
        <v>171</v>
      </c>
      <c r="W832" t="s">
        <v>172</v>
      </c>
      <c r="Y832" t="s">
        <v>156</v>
      </c>
      <c r="AA832" t="s">
        <v>156</v>
      </c>
      <c r="AB832" t="s">
        <v>173</v>
      </c>
      <c r="AC832" t="s">
        <v>174</v>
      </c>
      <c r="AD832" t="s">
        <v>175</v>
      </c>
    </row>
    <row r="833" spans="1:32" ht="22.15" customHeight="1">
      <c r="A833" s="12">
        <v>559</v>
      </c>
      <c r="B833" s="12"/>
      <c r="C833" s="13"/>
      <c r="D833" s="13"/>
      <c r="E833" s="13"/>
      <c r="F833" s="14"/>
      <c r="G833" s="15"/>
      <c r="H833" s="15"/>
      <c r="I833" s="24"/>
      <c r="J833" s="17"/>
      <c r="K833" s="18"/>
      <c r="L833" s="19"/>
      <c r="M833" s="31"/>
      <c r="N833" s="21"/>
      <c r="O833" s="30"/>
      <c r="P833" s="30"/>
      <c r="Q833" s="23"/>
      <c r="R833" s="24"/>
      <c r="U833" t="s">
        <v>176</v>
      </c>
      <c r="V833" t="s">
        <v>177</v>
      </c>
      <c r="X833" t="s">
        <v>178</v>
      </c>
      <c r="Y833" t="s">
        <v>160</v>
      </c>
      <c r="AA833" t="s">
        <v>160</v>
      </c>
      <c r="AB833" t="s">
        <v>179</v>
      </c>
      <c r="AC833" t="s">
        <v>180</v>
      </c>
      <c r="AD833" t="s">
        <v>181</v>
      </c>
    </row>
    <row r="834" spans="1:32" ht="22.15" customHeight="1">
      <c r="A834" s="12">
        <v>560</v>
      </c>
      <c r="B834" s="12"/>
      <c r="C834" s="13"/>
      <c r="D834" s="13"/>
      <c r="E834" s="13"/>
      <c r="F834" s="14"/>
      <c r="G834" s="15"/>
      <c r="H834" s="15"/>
      <c r="I834" s="24"/>
      <c r="J834" s="17"/>
      <c r="K834" s="18"/>
      <c r="L834" s="19"/>
      <c r="M834" s="31"/>
      <c r="N834" s="21"/>
      <c r="O834" s="30"/>
      <c r="P834" s="30"/>
      <c r="Q834" s="23"/>
      <c r="R834" s="24"/>
      <c r="V834" t="s">
        <v>184</v>
      </c>
      <c r="W834" t="s">
        <v>185</v>
      </c>
      <c r="X834" t="s">
        <v>186</v>
      </c>
    </row>
    <row r="835" spans="1:32" ht="18" customHeight="1">
      <c r="A835" s="47" t="s">
        <v>302</v>
      </c>
      <c r="B835" s="48"/>
      <c r="C835" s="48"/>
      <c r="D835" s="48"/>
      <c r="E835" s="49"/>
      <c r="F835" s="50" t="s">
        <v>183</v>
      </c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2"/>
      <c r="U835" t="s">
        <v>320</v>
      </c>
      <c r="W835" t="s">
        <v>321</v>
      </c>
      <c r="X835" t="s">
        <v>322</v>
      </c>
      <c r="Y835" t="s">
        <v>323</v>
      </c>
      <c r="AA835" s="16" t="s">
        <v>167</v>
      </c>
      <c r="AB835" s="16" t="s">
        <v>168</v>
      </c>
      <c r="AC835" s="16" t="s">
        <v>131</v>
      </c>
      <c r="AD835" s="16" t="s">
        <v>253</v>
      </c>
    </row>
    <row r="836" spans="1:32" ht="18" customHeight="1">
      <c r="A836" s="12">
        <v>1</v>
      </c>
      <c r="B836" s="47" t="s">
        <v>187</v>
      </c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9"/>
      <c r="AA836" s="27" t="s">
        <v>188</v>
      </c>
      <c r="AB836" s="27" t="s">
        <v>189</v>
      </c>
      <c r="AC836" s="27" t="s">
        <v>190</v>
      </c>
    </row>
    <row r="837" spans="1:32" ht="18" customHeight="1">
      <c r="A837" s="23">
        <v>2</v>
      </c>
      <c r="B837" s="53" t="s">
        <v>191</v>
      </c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5"/>
      <c r="U837" t="s">
        <v>192</v>
      </c>
      <c r="V837" s="16" t="s">
        <v>193</v>
      </c>
      <c r="W837" t="s">
        <v>194</v>
      </c>
      <c r="Y837" t="s">
        <v>195</v>
      </c>
      <c r="AA837" s="16" t="s">
        <v>173</v>
      </c>
      <c r="AB837" s="16" t="s">
        <v>174</v>
      </c>
      <c r="AC837" s="16" t="s">
        <v>139</v>
      </c>
      <c r="AD837" s="16" t="s">
        <v>196</v>
      </c>
    </row>
    <row r="838" spans="1:32" ht="18" customHeight="1">
      <c r="A838" s="23">
        <v>3</v>
      </c>
      <c r="B838" s="47" t="s">
        <v>197</v>
      </c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9"/>
      <c r="V838" s="16" t="s">
        <v>198</v>
      </c>
      <c r="X838" s="16" t="s">
        <v>199</v>
      </c>
      <c r="Y838" t="s">
        <v>200</v>
      </c>
      <c r="AA838" s="16" t="s">
        <v>179</v>
      </c>
      <c r="AB838" s="16" t="s">
        <v>180</v>
      </c>
      <c r="AC838" s="16" t="s">
        <v>147</v>
      </c>
      <c r="AD838" s="16" t="s">
        <v>201</v>
      </c>
    </row>
    <row r="839" spans="1:32" ht="18" customHeight="1">
      <c r="A839" s="37" t="s">
        <v>202</v>
      </c>
      <c r="B839" s="38"/>
      <c r="C839" s="39">
        <f>C509</f>
        <v>0</v>
      </c>
      <c r="D839" s="39"/>
      <c r="E839" s="37" t="s">
        <v>203</v>
      </c>
      <c r="F839" s="40"/>
      <c r="G839" s="41">
        <f>G509</f>
        <v>0</v>
      </c>
      <c r="H839" s="42"/>
      <c r="I839" s="42"/>
      <c r="J839" s="42"/>
      <c r="K839" s="28" t="s">
        <v>204</v>
      </c>
      <c r="L839" s="43" t="s">
        <v>205</v>
      </c>
      <c r="M839" s="43"/>
      <c r="N839" s="43"/>
      <c r="O839" s="43"/>
      <c r="P839" s="43"/>
      <c r="Q839" s="43"/>
      <c r="R839" s="43"/>
      <c r="U839" t="s">
        <v>206</v>
      </c>
      <c r="W839" s="16" t="s">
        <v>207</v>
      </c>
      <c r="X839" s="16" t="s">
        <v>208</v>
      </c>
    </row>
    <row r="840" spans="1:32" ht="18" customHeight="1">
      <c r="A840" s="37" t="s">
        <v>209</v>
      </c>
      <c r="B840" s="38"/>
      <c r="C840" s="39">
        <f>C510</f>
        <v>0</v>
      </c>
      <c r="D840" s="39"/>
      <c r="E840" s="37" t="s">
        <v>210</v>
      </c>
      <c r="F840" s="40"/>
      <c r="G840" s="41">
        <f>G510</f>
        <v>0</v>
      </c>
      <c r="H840" s="42"/>
      <c r="I840" s="42"/>
      <c r="J840" s="42"/>
      <c r="K840" s="28" t="s">
        <v>204</v>
      </c>
      <c r="L840" s="43" t="s">
        <v>205</v>
      </c>
      <c r="M840" s="43"/>
      <c r="N840" s="43"/>
      <c r="O840" s="43"/>
      <c r="P840" s="43"/>
      <c r="Q840" s="43"/>
      <c r="R840" s="43"/>
      <c r="V840" s="16" t="s">
        <v>211</v>
      </c>
      <c r="W840" s="16" t="s">
        <v>212</v>
      </c>
      <c r="Y840" t="s">
        <v>213</v>
      </c>
      <c r="AA840" s="16" t="s">
        <v>214</v>
      </c>
      <c r="AB840" s="16" t="s">
        <v>214</v>
      </c>
      <c r="AC840" s="16" t="s">
        <v>215</v>
      </c>
      <c r="AD840" s="16" t="s">
        <v>216</v>
      </c>
    </row>
    <row r="841" spans="1:32" ht="48" customHeight="1">
      <c r="A841" s="69" t="s">
        <v>0</v>
      </c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1" t="s">
        <v>1</v>
      </c>
      <c r="M841" s="71"/>
      <c r="N841" s="71"/>
      <c r="O841" s="71"/>
      <c r="P841" s="71"/>
      <c r="Q841" s="1" t="s">
        <v>2</v>
      </c>
      <c r="R841" s="2" t="s">
        <v>3</v>
      </c>
      <c r="S841" s="3"/>
      <c r="T841" s="3" t="s">
        <v>4</v>
      </c>
      <c r="U841" s="4" t="s">
        <v>5</v>
      </c>
      <c r="V841" s="4" t="s">
        <v>6</v>
      </c>
      <c r="W841" s="4" t="s">
        <v>7</v>
      </c>
      <c r="X841" s="4" t="s">
        <v>8</v>
      </c>
      <c r="Y841" s="4" t="s">
        <v>9</v>
      </c>
      <c r="Z841" s="4"/>
      <c r="AA841" s="4" t="s">
        <v>10</v>
      </c>
      <c r="AB841" s="4" t="s">
        <v>11</v>
      </c>
      <c r="AC841" s="4" t="s">
        <v>12</v>
      </c>
      <c r="AD841" s="4" t="s">
        <v>13</v>
      </c>
      <c r="AE841" s="4" t="s">
        <v>14</v>
      </c>
      <c r="AF841" s="4" t="s">
        <v>15</v>
      </c>
    </row>
    <row r="842" spans="1:32" s="8" customFormat="1" ht="18" customHeight="1">
      <c r="A842" s="5" t="s">
        <v>16</v>
      </c>
      <c r="B842" s="44">
        <f>B482</f>
        <v>0</v>
      </c>
      <c r="C842" s="45"/>
      <c r="D842" s="45"/>
      <c r="E842" s="6" t="str">
        <f>E482</f>
        <v>Version:1</v>
      </c>
      <c r="F842" s="72" t="s">
        <v>18</v>
      </c>
      <c r="G842" s="74" t="s">
        <v>19</v>
      </c>
      <c r="H842" s="74" t="s">
        <v>20</v>
      </c>
      <c r="I842" s="77" t="s">
        <v>21</v>
      </c>
      <c r="J842" s="62" t="s">
        <v>22</v>
      </c>
      <c r="K842" s="79" t="s">
        <v>23</v>
      </c>
      <c r="L842" s="62" t="s">
        <v>24</v>
      </c>
      <c r="M842" s="56" t="s">
        <v>25</v>
      </c>
      <c r="N842" s="59" t="s">
        <v>26</v>
      </c>
      <c r="O842" s="62" t="s">
        <v>27</v>
      </c>
      <c r="P842" s="65" t="s">
        <v>28</v>
      </c>
      <c r="Q842" s="66" t="s">
        <v>29</v>
      </c>
      <c r="R842" s="68" t="s">
        <v>30</v>
      </c>
      <c r="S842"/>
      <c r="T842" s="7" t="str">
        <f>IF(C875&gt;18,IF(C875=20,Nennweite20,IF(C875=60,U844,IF(C875=50,Nennweite50,IF(C875=25,Nennweite25,IF(C875=32,Nennweite32,IF(C875=40,Nennweite40,"&gt;")))))),IF(C875=8,Nennweite8,IF(C875=6,Nennweite6,IF(C875=10,Nennweite10,IF(C875=18,Nennweite18,IF(C875=16,Nennweite16,IF(C875=12,Nennweite12,"")))))))</f>
        <v/>
      </c>
      <c r="U842" t="s">
        <v>31</v>
      </c>
      <c r="V842" t="s">
        <v>32</v>
      </c>
      <c r="W842" t="s">
        <v>33</v>
      </c>
      <c r="X842" t="s">
        <v>34</v>
      </c>
      <c r="Y842" t="s">
        <v>35</v>
      </c>
      <c r="Z842"/>
      <c r="AA842" t="s">
        <v>36</v>
      </c>
      <c r="AB842" t="s">
        <v>37</v>
      </c>
      <c r="AC842" t="s">
        <v>38</v>
      </c>
      <c r="AD842" t="s">
        <v>39</v>
      </c>
      <c r="AE842" t="s">
        <v>40</v>
      </c>
      <c r="AF842" t="s">
        <v>41</v>
      </c>
    </row>
    <row r="843" spans="1:32" ht="18" customHeight="1">
      <c r="A843" s="5" t="s">
        <v>42</v>
      </c>
      <c r="B843" s="44">
        <f>B483</f>
        <v>0</v>
      </c>
      <c r="C843" s="45"/>
      <c r="D843" s="45"/>
      <c r="E843" s="46"/>
      <c r="F843" s="72"/>
      <c r="G843" s="75"/>
      <c r="H843" s="75"/>
      <c r="I843" s="77"/>
      <c r="J843" s="63"/>
      <c r="K843" s="80"/>
      <c r="L843" s="63"/>
      <c r="M843" s="57"/>
      <c r="N843" s="60"/>
      <c r="O843" s="63"/>
      <c r="P843" s="63"/>
      <c r="Q843" s="66"/>
      <c r="R843" s="66"/>
      <c r="U843" t="s">
        <v>43</v>
      </c>
      <c r="V843" t="s">
        <v>44</v>
      </c>
      <c r="W843" t="s">
        <v>45</v>
      </c>
      <c r="X843" t="s">
        <v>46</v>
      </c>
      <c r="Y843" t="s">
        <v>47</v>
      </c>
      <c r="AA843" t="s">
        <v>48</v>
      </c>
      <c r="AB843" t="s">
        <v>49</v>
      </c>
      <c r="AC843" t="s">
        <v>50</v>
      </c>
      <c r="AD843" t="s">
        <v>51</v>
      </c>
      <c r="AE843" t="s">
        <v>52</v>
      </c>
      <c r="AF843" t="s">
        <v>53</v>
      </c>
    </row>
    <row r="844" spans="1:32" ht="18" customHeight="1" thickBot="1">
      <c r="A844" s="9" t="s">
        <v>54</v>
      </c>
      <c r="B844" s="10" t="s">
        <v>55</v>
      </c>
      <c r="C844" s="10" t="s">
        <v>56</v>
      </c>
      <c r="D844" s="11" t="s">
        <v>57</v>
      </c>
      <c r="E844" s="9" t="s">
        <v>58</v>
      </c>
      <c r="F844" s="73"/>
      <c r="G844" s="76"/>
      <c r="H844" s="76"/>
      <c r="I844" s="78"/>
      <c r="J844" s="64"/>
      <c r="K844" s="81"/>
      <c r="L844" s="64"/>
      <c r="M844" s="58"/>
      <c r="N844" s="61"/>
      <c r="O844" s="64"/>
      <c r="P844" s="64"/>
      <c r="Q844" s="67"/>
      <c r="R844" s="67"/>
      <c r="U844" t="s">
        <v>59</v>
      </c>
      <c r="V844" t="s">
        <v>60</v>
      </c>
      <c r="W844" t="s">
        <v>61</v>
      </c>
      <c r="X844" t="s">
        <v>62</v>
      </c>
      <c r="Y844" t="s">
        <v>63</v>
      </c>
      <c r="AA844" t="s">
        <v>64</v>
      </c>
      <c r="AB844" t="s">
        <v>65</v>
      </c>
      <c r="AC844" t="s">
        <v>66</v>
      </c>
      <c r="AD844" t="s">
        <v>67</v>
      </c>
      <c r="AE844" t="s">
        <v>68</v>
      </c>
      <c r="AF844" t="s">
        <v>69</v>
      </c>
    </row>
    <row r="845" spans="1:32" ht="22.15" customHeight="1">
      <c r="A845" s="12">
        <v>561</v>
      </c>
      <c r="B845" s="13"/>
      <c r="C845" s="13"/>
      <c r="D845" s="13"/>
      <c r="E845" s="13"/>
      <c r="F845" s="14"/>
      <c r="G845" s="15"/>
      <c r="H845" s="15"/>
      <c r="I845" s="24"/>
      <c r="J845" s="17"/>
      <c r="K845" s="18"/>
      <c r="L845" s="19"/>
      <c r="M845" s="31"/>
      <c r="N845" s="21"/>
      <c r="O845" s="30"/>
      <c r="P845" s="30"/>
      <c r="Q845" s="23"/>
      <c r="R845" s="24"/>
      <c r="U845" t="s">
        <v>70</v>
      </c>
      <c r="V845" t="s">
        <v>71</v>
      </c>
      <c r="W845" t="s">
        <v>72</v>
      </c>
      <c r="X845" t="s">
        <v>73</v>
      </c>
      <c r="Y845" t="s">
        <v>74</v>
      </c>
      <c r="AA845" t="s">
        <v>75</v>
      </c>
      <c r="AB845" t="s">
        <v>76</v>
      </c>
      <c r="AC845" t="s">
        <v>77</v>
      </c>
      <c r="AD845" t="s">
        <v>78</v>
      </c>
      <c r="AE845" t="s">
        <v>79</v>
      </c>
    </row>
    <row r="846" spans="1:32" ht="22.15" customHeight="1">
      <c r="A846" s="12">
        <v>562</v>
      </c>
      <c r="B846" s="13"/>
      <c r="C846" s="13"/>
      <c r="D846" s="13"/>
      <c r="E846" s="13"/>
      <c r="F846" s="14"/>
      <c r="G846" s="15"/>
      <c r="H846" s="15"/>
      <c r="I846" s="24"/>
      <c r="J846" s="17"/>
      <c r="K846" s="18"/>
      <c r="L846" s="19"/>
      <c r="M846" s="31"/>
      <c r="N846" s="21"/>
      <c r="O846" s="30"/>
      <c r="P846" s="30"/>
      <c r="Q846" s="23"/>
      <c r="R846" s="24"/>
      <c r="U846" t="s">
        <v>80</v>
      </c>
      <c r="X846" t="s">
        <v>81</v>
      </c>
      <c r="Y846" t="s">
        <v>82</v>
      </c>
      <c r="AA846" t="s">
        <v>83</v>
      </c>
      <c r="AB846" t="s">
        <v>84</v>
      </c>
      <c r="AC846" t="s">
        <v>85</v>
      </c>
      <c r="AD846" t="s">
        <v>86</v>
      </c>
      <c r="AE846" t="s">
        <v>87</v>
      </c>
    </row>
    <row r="847" spans="1:32" ht="22.15" customHeight="1">
      <c r="A847" s="12">
        <v>563</v>
      </c>
      <c r="B847" s="13"/>
      <c r="C847" s="13"/>
      <c r="D847" s="13"/>
      <c r="E847" s="13"/>
      <c r="F847" s="14"/>
      <c r="G847" s="15"/>
      <c r="H847" s="15"/>
      <c r="I847" s="24"/>
      <c r="J847" s="17"/>
      <c r="K847" s="18"/>
      <c r="L847" s="19"/>
      <c r="M847" s="31"/>
      <c r="N847" s="21"/>
      <c r="O847" s="30"/>
      <c r="P847" s="30"/>
      <c r="Q847" s="23"/>
      <c r="R847" s="24"/>
      <c r="U847" t="s">
        <v>88</v>
      </c>
      <c r="V847" t="s">
        <v>89</v>
      </c>
      <c r="W847" t="s">
        <v>90</v>
      </c>
      <c r="X847" t="s">
        <v>91</v>
      </c>
      <c r="Y847" t="s">
        <v>92</v>
      </c>
      <c r="AA847" t="s">
        <v>93</v>
      </c>
      <c r="AB847" t="s">
        <v>94</v>
      </c>
      <c r="AC847" t="s">
        <v>95</v>
      </c>
      <c r="AD847" t="s">
        <v>96</v>
      </c>
      <c r="AE847" t="s">
        <v>97</v>
      </c>
    </row>
    <row r="848" spans="1:32" ht="22.15" customHeight="1">
      <c r="A848" s="12">
        <v>564</v>
      </c>
      <c r="B848" s="12"/>
      <c r="C848" s="13"/>
      <c r="D848" s="13"/>
      <c r="E848" s="13"/>
      <c r="F848" s="14"/>
      <c r="G848" s="15"/>
      <c r="H848" s="15"/>
      <c r="I848" s="24"/>
      <c r="J848" s="17"/>
      <c r="K848" s="18"/>
      <c r="L848" s="19"/>
      <c r="M848" s="31"/>
      <c r="N848" s="21"/>
      <c r="O848" s="30"/>
      <c r="P848" s="30"/>
      <c r="Q848" s="23"/>
      <c r="R848" s="24"/>
      <c r="V848" t="s">
        <v>98</v>
      </c>
      <c r="W848" t="s">
        <v>99</v>
      </c>
    </row>
    <row r="849" spans="1:31" ht="22.15" customHeight="1">
      <c r="A849" s="12">
        <v>565</v>
      </c>
      <c r="B849" s="12"/>
      <c r="C849" s="13"/>
      <c r="D849" s="13"/>
      <c r="E849" s="13"/>
      <c r="F849" s="14"/>
      <c r="G849" s="15"/>
      <c r="H849" s="15"/>
      <c r="I849" s="24"/>
      <c r="J849" s="17"/>
      <c r="K849" s="18"/>
      <c r="L849" s="19"/>
      <c r="M849" s="31"/>
      <c r="N849" s="21"/>
      <c r="O849" s="30"/>
      <c r="P849" s="30"/>
      <c r="Q849" s="23"/>
      <c r="R849" s="24"/>
      <c r="U849" t="s">
        <v>100</v>
      </c>
      <c r="V849" t="s">
        <v>101</v>
      </c>
      <c r="W849" t="s">
        <v>102</v>
      </c>
      <c r="X849" t="s">
        <v>103</v>
      </c>
      <c r="Y849" t="s">
        <v>103</v>
      </c>
      <c r="AA849" t="s">
        <v>104</v>
      </c>
      <c r="AB849" t="s">
        <v>105</v>
      </c>
      <c r="AC849" t="s">
        <v>106</v>
      </c>
      <c r="AD849" t="s">
        <v>40</v>
      </c>
      <c r="AE849" t="s">
        <v>107</v>
      </c>
    </row>
    <row r="850" spans="1:31" ht="22.15" customHeight="1">
      <c r="A850" s="12">
        <v>566</v>
      </c>
      <c r="B850" s="12"/>
      <c r="C850" s="13"/>
      <c r="D850" s="13"/>
      <c r="E850" s="13"/>
      <c r="F850" s="14"/>
      <c r="G850" s="15"/>
      <c r="H850" s="15"/>
      <c r="I850" s="24"/>
      <c r="J850" s="17"/>
      <c r="K850" s="18"/>
      <c r="L850" s="19"/>
      <c r="M850" s="31"/>
      <c r="N850" s="21"/>
      <c r="O850" s="30"/>
      <c r="P850" s="30"/>
      <c r="Q850" s="23"/>
      <c r="R850" s="24"/>
      <c r="X850" t="s">
        <v>108</v>
      </c>
      <c r="Y850" t="s">
        <v>108</v>
      </c>
      <c r="AA850" t="s">
        <v>109</v>
      </c>
      <c r="AB850" t="s">
        <v>110</v>
      </c>
      <c r="AC850" t="s">
        <v>111</v>
      </c>
      <c r="AD850" t="s">
        <v>52</v>
      </c>
    </row>
    <row r="851" spans="1:31" ht="22.15" customHeight="1">
      <c r="A851" s="12">
        <v>567</v>
      </c>
      <c r="B851" s="12"/>
      <c r="C851" s="13"/>
      <c r="D851" s="13"/>
      <c r="E851" s="13"/>
      <c r="F851" s="14"/>
      <c r="G851" s="15"/>
      <c r="H851" s="15"/>
      <c r="I851" s="24"/>
      <c r="J851" s="17"/>
      <c r="K851" s="18"/>
      <c r="L851" s="19"/>
      <c r="M851" s="31"/>
      <c r="N851" s="21"/>
      <c r="O851" s="30"/>
      <c r="P851" s="30"/>
      <c r="Q851" s="23"/>
      <c r="R851" s="24"/>
      <c r="U851" t="s">
        <v>112</v>
      </c>
      <c r="V851" t="s">
        <v>113</v>
      </c>
      <c r="W851" t="s">
        <v>114</v>
      </c>
      <c r="X851" t="s">
        <v>115</v>
      </c>
      <c r="Y851" t="s">
        <v>116</v>
      </c>
      <c r="AA851" t="s">
        <v>117</v>
      </c>
      <c r="AB851" t="s">
        <v>118</v>
      </c>
      <c r="AC851" t="s">
        <v>119</v>
      </c>
      <c r="AD851" t="s">
        <v>68</v>
      </c>
      <c r="AE851" t="s">
        <v>120</v>
      </c>
    </row>
    <row r="852" spans="1:31" ht="22.15" customHeight="1">
      <c r="A852" s="12">
        <v>568</v>
      </c>
      <c r="B852" s="12"/>
      <c r="C852" s="13"/>
      <c r="D852" s="13"/>
      <c r="E852" s="13"/>
      <c r="F852" s="14"/>
      <c r="G852" s="15"/>
      <c r="H852" s="15"/>
      <c r="I852" s="24"/>
      <c r="J852" s="17"/>
      <c r="K852" s="18"/>
      <c r="L852" s="19"/>
      <c r="M852" s="31"/>
      <c r="N852" s="21"/>
      <c r="O852" s="30"/>
      <c r="P852" s="30"/>
      <c r="Q852" s="23"/>
      <c r="R852" s="24"/>
      <c r="V852" t="s">
        <v>121</v>
      </c>
      <c r="W852" t="s">
        <v>122</v>
      </c>
      <c r="AE852" t="s">
        <v>123</v>
      </c>
    </row>
    <row r="853" spans="1:31" ht="22.15" customHeight="1">
      <c r="A853" s="12">
        <v>569</v>
      </c>
      <c r="B853" s="12"/>
      <c r="C853" s="13"/>
      <c r="D853" s="13"/>
      <c r="E853" s="13"/>
      <c r="F853" s="14"/>
      <c r="G853" s="15"/>
      <c r="H853" s="15"/>
      <c r="I853" s="24"/>
      <c r="J853" s="17"/>
      <c r="K853" s="18"/>
      <c r="L853" s="19"/>
      <c r="M853" s="31"/>
      <c r="N853" s="21"/>
      <c r="O853" s="30"/>
      <c r="P853" s="30"/>
      <c r="Q853" s="23"/>
      <c r="R853" s="24"/>
      <c r="U853" t="s">
        <v>124</v>
      </c>
      <c r="V853" t="s">
        <v>125</v>
      </c>
      <c r="W853" t="s">
        <v>126</v>
      </c>
      <c r="X853" t="s">
        <v>127</v>
      </c>
      <c r="Y853" t="s">
        <v>128</v>
      </c>
      <c r="AA853" t="s">
        <v>128</v>
      </c>
      <c r="AB853" t="s">
        <v>129</v>
      </c>
      <c r="AC853" t="s">
        <v>130</v>
      </c>
      <c r="AD853" t="s">
        <v>131</v>
      </c>
      <c r="AE853" t="s">
        <v>132</v>
      </c>
    </row>
    <row r="854" spans="1:31" ht="22.15" customHeight="1">
      <c r="A854" s="12">
        <v>570</v>
      </c>
      <c r="B854" s="12"/>
      <c r="C854" s="13"/>
      <c r="D854" s="13"/>
      <c r="E854" s="13"/>
      <c r="F854" s="14"/>
      <c r="G854" s="15"/>
      <c r="H854" s="15"/>
      <c r="I854" s="24"/>
      <c r="J854" s="17"/>
      <c r="K854" s="18"/>
      <c r="L854" s="19"/>
      <c r="M854" s="31"/>
      <c r="N854" s="21"/>
      <c r="O854" s="30"/>
      <c r="P854" s="30"/>
      <c r="Q854" s="23"/>
      <c r="R854" s="24"/>
      <c r="U854" t="s">
        <v>134</v>
      </c>
      <c r="X854" t="s">
        <v>135</v>
      </c>
      <c r="Y854" t="s">
        <v>136</v>
      </c>
      <c r="AA854" t="s">
        <v>136</v>
      </c>
      <c r="AB854" t="s">
        <v>137</v>
      </c>
      <c r="AC854" t="s">
        <v>138</v>
      </c>
      <c r="AD854" t="s">
        <v>139</v>
      </c>
    </row>
    <row r="855" spans="1:31" ht="22.15" customHeight="1">
      <c r="A855" s="12">
        <v>571</v>
      </c>
      <c r="B855" s="12"/>
      <c r="C855" s="13"/>
      <c r="D855" s="13"/>
      <c r="E855" s="13"/>
      <c r="F855" s="14"/>
      <c r="G855" s="15"/>
      <c r="H855" s="15"/>
      <c r="I855" s="24"/>
      <c r="J855" s="17"/>
      <c r="K855" s="18"/>
      <c r="L855" s="19"/>
      <c r="M855" s="31"/>
      <c r="N855" s="21"/>
      <c r="O855" s="30"/>
      <c r="P855" s="30"/>
      <c r="Q855" s="23"/>
      <c r="R855" s="24"/>
      <c r="U855" t="s">
        <v>140</v>
      </c>
      <c r="V855" t="s">
        <v>141</v>
      </c>
      <c r="W855" t="s">
        <v>142</v>
      </c>
      <c r="X855" t="s">
        <v>143</v>
      </c>
      <c r="Y855" t="s">
        <v>144</v>
      </c>
      <c r="AA855" t="s">
        <v>144</v>
      </c>
      <c r="AB855" t="s">
        <v>145</v>
      </c>
      <c r="AC855" t="s">
        <v>146</v>
      </c>
      <c r="AD855" t="s">
        <v>147</v>
      </c>
    </row>
    <row r="856" spans="1:31" ht="22.15" customHeight="1">
      <c r="A856" s="12">
        <v>572</v>
      </c>
      <c r="B856" s="12"/>
      <c r="C856" s="13"/>
      <c r="D856" s="13"/>
      <c r="E856" s="13"/>
      <c r="F856" s="14"/>
      <c r="G856" s="15"/>
      <c r="H856" s="15"/>
      <c r="I856" s="24"/>
      <c r="J856" s="17"/>
      <c r="K856" s="18"/>
      <c r="L856" s="19"/>
      <c r="M856" s="31"/>
      <c r="N856" s="21"/>
      <c r="O856" s="30"/>
      <c r="P856" s="30"/>
      <c r="Q856" s="23"/>
      <c r="R856" s="24"/>
      <c r="V856" t="s">
        <v>148</v>
      </c>
    </row>
    <row r="857" spans="1:31" ht="22.15" customHeight="1">
      <c r="A857" s="12">
        <v>573</v>
      </c>
      <c r="B857" s="12"/>
      <c r="C857" s="13"/>
      <c r="D857" s="13"/>
      <c r="E857" s="13"/>
      <c r="F857" s="14"/>
      <c r="G857" s="15"/>
      <c r="H857" s="15"/>
      <c r="I857" s="24"/>
      <c r="J857" s="17"/>
      <c r="K857" s="18"/>
      <c r="L857" s="19"/>
      <c r="M857" s="31"/>
      <c r="N857" s="21"/>
      <c r="O857" s="30"/>
      <c r="P857" s="30"/>
      <c r="Q857" s="23"/>
      <c r="R857" s="24"/>
      <c r="U857" t="s">
        <v>149</v>
      </c>
      <c r="W857" t="s">
        <v>150</v>
      </c>
      <c r="X857" t="s">
        <v>151</v>
      </c>
      <c r="Y857" t="s">
        <v>127</v>
      </c>
      <c r="AA857" t="s">
        <v>129</v>
      </c>
      <c r="AB857" t="s">
        <v>130</v>
      </c>
      <c r="AC857" t="s">
        <v>78</v>
      </c>
      <c r="AD857" t="s">
        <v>152</v>
      </c>
    </row>
    <row r="858" spans="1:31" ht="22.15" customHeight="1">
      <c r="A858" s="12">
        <v>574</v>
      </c>
      <c r="B858" s="12"/>
      <c r="C858" s="13"/>
      <c r="D858" s="13"/>
      <c r="E858" s="13"/>
      <c r="F858" s="14"/>
      <c r="G858" s="15"/>
      <c r="H858" s="15"/>
      <c r="I858" s="24"/>
      <c r="J858" s="17"/>
      <c r="K858" s="18"/>
      <c r="L858" s="19"/>
      <c r="M858" s="31"/>
      <c r="N858" s="21"/>
      <c r="O858" s="30"/>
      <c r="P858" s="30"/>
      <c r="Q858" s="23"/>
      <c r="R858" s="24"/>
      <c r="U858" t="s">
        <v>153</v>
      </c>
      <c r="V858" t="s">
        <v>154</v>
      </c>
      <c r="W858" t="s">
        <v>155</v>
      </c>
      <c r="X858" t="s">
        <v>156</v>
      </c>
      <c r="Y858" t="s">
        <v>135</v>
      </c>
      <c r="AA858" t="s">
        <v>137</v>
      </c>
      <c r="AB858" t="s">
        <v>138</v>
      </c>
      <c r="AC858" t="s">
        <v>86</v>
      </c>
      <c r="AD858" t="s">
        <v>157</v>
      </c>
    </row>
    <row r="859" spans="1:31" ht="22.15" customHeight="1">
      <c r="A859" s="12">
        <v>575</v>
      </c>
      <c r="B859" s="12"/>
      <c r="C859" s="13"/>
      <c r="D859" s="13"/>
      <c r="E859" s="13"/>
      <c r="F859" s="14"/>
      <c r="G859" s="15"/>
      <c r="H859" s="15"/>
      <c r="I859" s="24"/>
      <c r="J859" s="17"/>
      <c r="K859" s="18"/>
      <c r="L859" s="19"/>
      <c r="M859" s="31"/>
      <c r="N859" s="21"/>
      <c r="O859" s="30"/>
      <c r="P859" s="30"/>
      <c r="Q859" s="23"/>
      <c r="R859" s="24"/>
      <c r="U859" t="s">
        <v>158</v>
      </c>
      <c r="V859" t="s">
        <v>159</v>
      </c>
      <c r="X859" t="s">
        <v>160</v>
      </c>
      <c r="Y859" t="s">
        <v>143</v>
      </c>
      <c r="AA859" t="s">
        <v>145</v>
      </c>
      <c r="AB859" t="s">
        <v>146</v>
      </c>
      <c r="AC859" t="s">
        <v>96</v>
      </c>
      <c r="AD859" t="s">
        <v>161</v>
      </c>
    </row>
    <row r="860" spans="1:31" ht="22.15" customHeight="1">
      <c r="A860" s="12">
        <v>576</v>
      </c>
      <c r="B860" s="12"/>
      <c r="C860" s="13"/>
      <c r="D860" s="13"/>
      <c r="E860" s="13"/>
      <c r="F860" s="14"/>
      <c r="G860" s="15"/>
      <c r="H860" s="15"/>
      <c r="I860" s="24"/>
      <c r="J860" s="17"/>
      <c r="K860" s="18"/>
      <c r="L860" s="19"/>
      <c r="M860" s="31"/>
      <c r="N860" s="21"/>
      <c r="O860" s="30"/>
      <c r="P860" s="30"/>
      <c r="Q860" s="23"/>
      <c r="R860" s="24"/>
      <c r="V860" t="s">
        <v>162</v>
      </c>
      <c r="W860" t="s">
        <v>163</v>
      </c>
    </row>
    <row r="861" spans="1:31" ht="22.15" customHeight="1">
      <c r="A861" s="12">
        <v>577</v>
      </c>
      <c r="B861" s="12"/>
      <c r="C861" s="13"/>
      <c r="D861" s="13"/>
      <c r="E861" s="13"/>
      <c r="F861" s="14"/>
      <c r="G861" s="15"/>
      <c r="H861" s="15"/>
      <c r="I861" s="24"/>
      <c r="J861" s="17"/>
      <c r="K861" s="18"/>
      <c r="L861" s="19"/>
      <c r="M861" s="31"/>
      <c r="N861" s="21"/>
      <c r="O861" s="30"/>
      <c r="P861" s="30"/>
      <c r="Q861" s="23"/>
      <c r="R861" s="24"/>
      <c r="U861" t="s">
        <v>164</v>
      </c>
      <c r="W861" t="s">
        <v>165</v>
      </c>
      <c r="X861" t="s">
        <v>166</v>
      </c>
      <c r="Y861" t="s">
        <v>151</v>
      </c>
      <c r="AA861" t="s">
        <v>151</v>
      </c>
      <c r="AB861" t="s">
        <v>167</v>
      </c>
      <c r="AC861" t="s">
        <v>168</v>
      </c>
      <c r="AD861" t="s">
        <v>169</v>
      </c>
    </row>
    <row r="862" spans="1:31" ht="22.15" customHeight="1">
      <c r="A862" s="12">
        <v>578</v>
      </c>
      <c r="B862" s="12"/>
      <c r="C862" s="13"/>
      <c r="D862" s="13"/>
      <c r="E862" s="13"/>
      <c r="F862" s="14"/>
      <c r="G862" s="15"/>
      <c r="H862" s="15"/>
      <c r="I862" s="24"/>
      <c r="J862" s="17"/>
      <c r="K862" s="18"/>
      <c r="L862" s="19"/>
      <c r="M862" s="31"/>
      <c r="N862" s="21"/>
      <c r="O862" s="30"/>
      <c r="P862" s="30"/>
      <c r="Q862" s="23"/>
      <c r="R862" s="24"/>
      <c r="U862" t="s">
        <v>170</v>
      </c>
      <c r="V862" t="s">
        <v>171</v>
      </c>
      <c r="W862" t="s">
        <v>172</v>
      </c>
      <c r="Y862" t="s">
        <v>156</v>
      </c>
      <c r="AA862" t="s">
        <v>156</v>
      </c>
      <c r="AB862" t="s">
        <v>173</v>
      </c>
      <c r="AC862" t="s">
        <v>174</v>
      </c>
      <c r="AD862" t="s">
        <v>175</v>
      </c>
    </row>
    <row r="863" spans="1:31" ht="22.15" customHeight="1">
      <c r="A863" s="12">
        <v>579</v>
      </c>
      <c r="B863" s="12"/>
      <c r="C863" s="13"/>
      <c r="D863" s="13"/>
      <c r="E863" s="13"/>
      <c r="F863" s="14"/>
      <c r="G863" s="15"/>
      <c r="H863" s="15"/>
      <c r="I863" s="24"/>
      <c r="J863" s="17"/>
      <c r="K863" s="18"/>
      <c r="L863" s="19"/>
      <c r="M863" s="31"/>
      <c r="N863" s="21"/>
      <c r="O863" s="30"/>
      <c r="P863" s="30"/>
      <c r="Q863" s="23"/>
      <c r="R863" s="24"/>
      <c r="U863" t="s">
        <v>176</v>
      </c>
      <c r="V863" t="s">
        <v>177</v>
      </c>
      <c r="X863" t="s">
        <v>178</v>
      </c>
      <c r="Y863" t="s">
        <v>160</v>
      </c>
      <c r="AA863" t="s">
        <v>160</v>
      </c>
      <c r="AB863" t="s">
        <v>179</v>
      </c>
      <c r="AC863" t="s">
        <v>180</v>
      </c>
      <c r="AD863" t="s">
        <v>181</v>
      </c>
    </row>
    <row r="864" spans="1:31" ht="22.15" customHeight="1">
      <c r="A864" s="12">
        <v>580</v>
      </c>
      <c r="B864" s="12"/>
      <c r="C864" s="13"/>
      <c r="D864" s="13"/>
      <c r="E864" s="13"/>
      <c r="F864" s="14"/>
      <c r="G864" s="15"/>
      <c r="H864" s="15"/>
      <c r="I864" s="24"/>
      <c r="J864" s="17"/>
      <c r="K864" s="18"/>
      <c r="L864" s="19"/>
      <c r="M864" s="31"/>
      <c r="N864" s="21"/>
      <c r="O864" s="30"/>
      <c r="P864" s="30"/>
      <c r="Q864" s="23"/>
      <c r="R864" s="24"/>
      <c r="V864" t="s">
        <v>184</v>
      </c>
      <c r="W864" t="s">
        <v>185</v>
      </c>
      <c r="X864" t="s">
        <v>186</v>
      </c>
    </row>
    <row r="865" spans="1:32" ht="18" customHeight="1">
      <c r="A865" s="47" t="s">
        <v>302</v>
      </c>
      <c r="B865" s="48"/>
      <c r="C865" s="48"/>
      <c r="D865" s="48"/>
      <c r="E865" s="49"/>
      <c r="F865" s="50" t="s">
        <v>183</v>
      </c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2"/>
      <c r="U865" t="s">
        <v>320</v>
      </c>
      <c r="W865" t="s">
        <v>321</v>
      </c>
      <c r="X865" t="s">
        <v>322</v>
      </c>
      <c r="Y865" t="s">
        <v>323</v>
      </c>
      <c r="AA865" s="16" t="s">
        <v>167</v>
      </c>
      <c r="AB865" s="16" t="s">
        <v>168</v>
      </c>
      <c r="AC865" s="16" t="s">
        <v>131</v>
      </c>
      <c r="AD865" s="16" t="s">
        <v>253</v>
      </c>
    </row>
    <row r="866" spans="1:32" ht="18" customHeight="1">
      <c r="A866" s="12">
        <v>1</v>
      </c>
      <c r="B866" s="47" t="s">
        <v>187</v>
      </c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9"/>
      <c r="AA866" s="27" t="s">
        <v>188</v>
      </c>
      <c r="AB866" s="27" t="s">
        <v>189</v>
      </c>
      <c r="AC866" s="27" t="s">
        <v>190</v>
      </c>
    </row>
    <row r="867" spans="1:32" ht="18" customHeight="1">
      <c r="A867" s="23">
        <v>2</v>
      </c>
      <c r="B867" s="53" t="s">
        <v>191</v>
      </c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5"/>
      <c r="U867" t="s">
        <v>192</v>
      </c>
      <c r="V867" s="16" t="s">
        <v>193</v>
      </c>
      <c r="W867" t="s">
        <v>194</v>
      </c>
      <c r="Y867" t="s">
        <v>195</v>
      </c>
      <c r="AA867" s="16" t="s">
        <v>173</v>
      </c>
      <c r="AB867" s="16" t="s">
        <v>174</v>
      </c>
      <c r="AC867" s="16" t="s">
        <v>139</v>
      </c>
      <c r="AD867" s="16" t="s">
        <v>196</v>
      </c>
    </row>
    <row r="868" spans="1:32" ht="18" customHeight="1">
      <c r="A868" s="23">
        <v>3</v>
      </c>
      <c r="B868" s="47" t="s">
        <v>197</v>
      </c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9"/>
      <c r="V868" s="16" t="s">
        <v>198</v>
      </c>
      <c r="X868" s="16" t="s">
        <v>199</v>
      </c>
      <c r="Y868" t="s">
        <v>200</v>
      </c>
      <c r="AA868" s="16" t="s">
        <v>179</v>
      </c>
      <c r="AB868" s="16" t="s">
        <v>180</v>
      </c>
      <c r="AC868" s="16" t="s">
        <v>147</v>
      </c>
      <c r="AD868" s="16" t="s">
        <v>201</v>
      </c>
    </row>
    <row r="869" spans="1:32" ht="18" customHeight="1">
      <c r="A869" s="37" t="s">
        <v>202</v>
      </c>
      <c r="B869" s="38"/>
      <c r="C869" s="39">
        <f>C539</f>
        <v>0</v>
      </c>
      <c r="D869" s="39"/>
      <c r="E869" s="37" t="s">
        <v>203</v>
      </c>
      <c r="F869" s="40"/>
      <c r="G869" s="41">
        <f>G539</f>
        <v>0</v>
      </c>
      <c r="H869" s="42"/>
      <c r="I869" s="42"/>
      <c r="J869" s="42"/>
      <c r="K869" s="28" t="s">
        <v>204</v>
      </c>
      <c r="L869" s="43" t="s">
        <v>205</v>
      </c>
      <c r="M869" s="43"/>
      <c r="N869" s="43"/>
      <c r="O869" s="43"/>
      <c r="P869" s="43"/>
      <c r="Q869" s="43"/>
      <c r="R869" s="43"/>
      <c r="U869" t="s">
        <v>206</v>
      </c>
      <c r="W869" s="16" t="s">
        <v>207</v>
      </c>
      <c r="X869" s="16" t="s">
        <v>208</v>
      </c>
    </row>
    <row r="870" spans="1:32" ht="18" customHeight="1">
      <c r="A870" s="37" t="s">
        <v>209</v>
      </c>
      <c r="B870" s="38"/>
      <c r="C870" s="39">
        <f>C540</f>
        <v>0</v>
      </c>
      <c r="D870" s="39"/>
      <c r="E870" s="37" t="s">
        <v>210</v>
      </c>
      <c r="F870" s="40"/>
      <c r="G870" s="41">
        <f>G540</f>
        <v>0</v>
      </c>
      <c r="H870" s="42"/>
      <c r="I870" s="42"/>
      <c r="J870" s="42"/>
      <c r="K870" s="28" t="s">
        <v>204</v>
      </c>
      <c r="L870" s="43" t="s">
        <v>205</v>
      </c>
      <c r="M870" s="43"/>
      <c r="N870" s="43"/>
      <c r="O870" s="43"/>
      <c r="P870" s="43"/>
      <c r="Q870" s="43"/>
      <c r="R870" s="43"/>
      <c r="V870" s="16" t="s">
        <v>211</v>
      </c>
      <c r="W870" s="16" t="s">
        <v>212</v>
      </c>
      <c r="Y870" t="s">
        <v>213</v>
      </c>
      <c r="AA870" s="16" t="s">
        <v>214</v>
      </c>
      <c r="AB870" s="16" t="s">
        <v>214</v>
      </c>
      <c r="AC870" s="16" t="s">
        <v>215</v>
      </c>
      <c r="AD870" s="16" t="s">
        <v>216</v>
      </c>
    </row>
    <row r="871" spans="1:32" ht="48" customHeight="1">
      <c r="A871" s="69" t="s">
        <v>0</v>
      </c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1" t="s">
        <v>1</v>
      </c>
      <c r="M871" s="71"/>
      <c r="N871" s="71"/>
      <c r="O871" s="71"/>
      <c r="P871" s="71"/>
      <c r="Q871" s="1" t="s">
        <v>2</v>
      </c>
      <c r="R871" s="2" t="s">
        <v>3</v>
      </c>
      <c r="S871" s="3"/>
      <c r="T871" s="3" t="s">
        <v>4</v>
      </c>
      <c r="U871" s="4" t="s">
        <v>5</v>
      </c>
      <c r="V871" s="4" t="s">
        <v>6</v>
      </c>
      <c r="W871" s="4" t="s">
        <v>7</v>
      </c>
      <c r="X871" s="4" t="s">
        <v>8</v>
      </c>
      <c r="Y871" s="4" t="s">
        <v>9</v>
      </c>
      <c r="Z871" s="4"/>
      <c r="AA871" s="4" t="s">
        <v>10</v>
      </c>
      <c r="AB871" s="4" t="s">
        <v>11</v>
      </c>
      <c r="AC871" s="4" t="s">
        <v>12</v>
      </c>
      <c r="AD871" s="4" t="s">
        <v>13</v>
      </c>
      <c r="AE871" s="4" t="s">
        <v>14</v>
      </c>
      <c r="AF871" s="4" t="s">
        <v>15</v>
      </c>
    </row>
    <row r="872" spans="1:32" s="8" customFormat="1" ht="18" customHeight="1">
      <c r="A872" s="5" t="s">
        <v>16</v>
      </c>
      <c r="B872" s="44">
        <f>B512</f>
        <v>0</v>
      </c>
      <c r="C872" s="45"/>
      <c r="D872" s="45"/>
      <c r="E872" s="6" t="str">
        <f>E512</f>
        <v>Version:1</v>
      </c>
      <c r="F872" s="72" t="s">
        <v>18</v>
      </c>
      <c r="G872" s="74" t="s">
        <v>19</v>
      </c>
      <c r="H872" s="74" t="s">
        <v>20</v>
      </c>
      <c r="I872" s="77" t="s">
        <v>21</v>
      </c>
      <c r="J872" s="62" t="s">
        <v>22</v>
      </c>
      <c r="K872" s="79" t="s">
        <v>23</v>
      </c>
      <c r="L872" s="62" t="s">
        <v>24</v>
      </c>
      <c r="M872" s="56" t="s">
        <v>25</v>
      </c>
      <c r="N872" s="59" t="s">
        <v>26</v>
      </c>
      <c r="O872" s="62" t="s">
        <v>27</v>
      </c>
      <c r="P872" s="65" t="s">
        <v>28</v>
      </c>
      <c r="Q872" s="66" t="s">
        <v>29</v>
      </c>
      <c r="R872" s="68" t="s">
        <v>30</v>
      </c>
      <c r="S872"/>
      <c r="T872" s="7" t="str">
        <f>IF(C905&gt;18,IF(C905=20,Nennweite20,IF(C905=60,U874,IF(C905=50,Nennweite50,IF(C905=25,Nennweite25,IF(C905=32,Nennweite32,IF(C905=40,Nennweite40,"&gt;")))))),IF(C905=8,Nennweite8,IF(C905=6,Nennweite6,IF(C905=10,Nennweite10,IF(C905=18,Nennweite18,IF(C905=16,Nennweite16,IF(C905=12,Nennweite12,"")))))))</f>
        <v/>
      </c>
      <c r="U872" t="s">
        <v>31</v>
      </c>
      <c r="V872" t="s">
        <v>32</v>
      </c>
      <c r="W872" t="s">
        <v>33</v>
      </c>
      <c r="X872" t="s">
        <v>34</v>
      </c>
      <c r="Y872" t="s">
        <v>35</v>
      </c>
      <c r="Z872"/>
      <c r="AA872" t="s">
        <v>36</v>
      </c>
      <c r="AB872" t="s">
        <v>37</v>
      </c>
      <c r="AC872" t="s">
        <v>38</v>
      </c>
      <c r="AD872" t="s">
        <v>39</v>
      </c>
      <c r="AE872" t="s">
        <v>40</v>
      </c>
      <c r="AF872" t="s">
        <v>41</v>
      </c>
    </row>
    <row r="873" spans="1:32" ht="18" customHeight="1">
      <c r="A873" s="5" t="s">
        <v>42</v>
      </c>
      <c r="B873" s="44">
        <f>B513</f>
        <v>0</v>
      </c>
      <c r="C873" s="45"/>
      <c r="D873" s="45"/>
      <c r="E873" s="46"/>
      <c r="F873" s="72"/>
      <c r="G873" s="75"/>
      <c r="H873" s="75"/>
      <c r="I873" s="77"/>
      <c r="J873" s="63"/>
      <c r="K873" s="80"/>
      <c r="L873" s="63"/>
      <c r="M873" s="57"/>
      <c r="N873" s="60"/>
      <c r="O873" s="63"/>
      <c r="P873" s="63"/>
      <c r="Q873" s="66"/>
      <c r="R873" s="66"/>
      <c r="U873" t="s">
        <v>43</v>
      </c>
      <c r="V873" t="s">
        <v>44</v>
      </c>
      <c r="W873" t="s">
        <v>45</v>
      </c>
      <c r="X873" t="s">
        <v>46</v>
      </c>
      <c r="Y873" t="s">
        <v>47</v>
      </c>
      <c r="AA873" t="s">
        <v>48</v>
      </c>
      <c r="AB873" t="s">
        <v>49</v>
      </c>
      <c r="AC873" t="s">
        <v>50</v>
      </c>
      <c r="AD873" t="s">
        <v>51</v>
      </c>
      <c r="AE873" t="s">
        <v>52</v>
      </c>
      <c r="AF873" t="s">
        <v>53</v>
      </c>
    </row>
    <row r="874" spans="1:32" ht="18" customHeight="1" thickBot="1">
      <c r="A874" s="9" t="s">
        <v>54</v>
      </c>
      <c r="B874" s="10" t="s">
        <v>55</v>
      </c>
      <c r="C874" s="10" t="s">
        <v>56</v>
      </c>
      <c r="D874" s="11" t="s">
        <v>57</v>
      </c>
      <c r="E874" s="9" t="s">
        <v>58</v>
      </c>
      <c r="F874" s="73"/>
      <c r="G874" s="76"/>
      <c r="H874" s="76"/>
      <c r="I874" s="78"/>
      <c r="J874" s="64"/>
      <c r="K874" s="81"/>
      <c r="L874" s="64"/>
      <c r="M874" s="58"/>
      <c r="N874" s="61"/>
      <c r="O874" s="64"/>
      <c r="P874" s="64"/>
      <c r="Q874" s="67"/>
      <c r="R874" s="67"/>
      <c r="U874" t="s">
        <v>59</v>
      </c>
      <c r="V874" t="s">
        <v>60</v>
      </c>
      <c r="W874" t="s">
        <v>61</v>
      </c>
      <c r="X874" t="s">
        <v>62</v>
      </c>
      <c r="Y874" t="s">
        <v>63</v>
      </c>
      <c r="AA874" t="s">
        <v>64</v>
      </c>
      <c r="AB874" t="s">
        <v>65</v>
      </c>
      <c r="AC874" t="s">
        <v>66</v>
      </c>
      <c r="AD874" t="s">
        <v>67</v>
      </c>
      <c r="AE874" t="s">
        <v>68</v>
      </c>
      <c r="AF874" t="s">
        <v>69</v>
      </c>
    </row>
    <row r="875" spans="1:32" ht="22.15" customHeight="1">
      <c r="A875" s="12">
        <v>581</v>
      </c>
      <c r="B875" s="13"/>
      <c r="C875" s="13"/>
      <c r="D875" s="13"/>
      <c r="E875" s="13"/>
      <c r="F875" s="14"/>
      <c r="G875" s="15"/>
      <c r="H875" s="15"/>
      <c r="I875" s="24"/>
      <c r="J875" s="17"/>
      <c r="K875" s="18"/>
      <c r="L875" s="19"/>
      <c r="M875" s="31"/>
      <c r="N875" s="21"/>
      <c r="O875" s="30"/>
      <c r="P875" s="30"/>
      <c r="Q875" s="23"/>
      <c r="R875" s="24"/>
      <c r="U875" t="s">
        <v>70</v>
      </c>
      <c r="V875" t="s">
        <v>71</v>
      </c>
      <c r="W875" t="s">
        <v>72</v>
      </c>
      <c r="X875" t="s">
        <v>73</v>
      </c>
      <c r="Y875" t="s">
        <v>74</v>
      </c>
      <c r="AA875" t="s">
        <v>75</v>
      </c>
      <c r="AB875" t="s">
        <v>76</v>
      </c>
      <c r="AC875" t="s">
        <v>77</v>
      </c>
      <c r="AD875" t="s">
        <v>78</v>
      </c>
      <c r="AE875" t="s">
        <v>79</v>
      </c>
    </row>
    <row r="876" spans="1:32" ht="22.15" customHeight="1">
      <c r="A876" s="12">
        <v>582</v>
      </c>
      <c r="B876" s="13"/>
      <c r="C876" s="13"/>
      <c r="D876" s="13"/>
      <c r="E876" s="13"/>
      <c r="F876" s="14"/>
      <c r="G876" s="15"/>
      <c r="H876" s="15"/>
      <c r="I876" s="24"/>
      <c r="J876" s="17"/>
      <c r="K876" s="18"/>
      <c r="L876" s="19"/>
      <c r="M876" s="31"/>
      <c r="N876" s="21"/>
      <c r="O876" s="30"/>
      <c r="P876" s="30"/>
      <c r="Q876" s="23"/>
      <c r="R876" s="24"/>
      <c r="U876" t="s">
        <v>80</v>
      </c>
      <c r="X876" t="s">
        <v>81</v>
      </c>
      <c r="Y876" t="s">
        <v>82</v>
      </c>
      <c r="AA876" t="s">
        <v>83</v>
      </c>
      <c r="AB876" t="s">
        <v>84</v>
      </c>
      <c r="AC876" t="s">
        <v>85</v>
      </c>
      <c r="AD876" t="s">
        <v>86</v>
      </c>
      <c r="AE876" t="s">
        <v>87</v>
      </c>
    </row>
    <row r="877" spans="1:32" ht="22.15" customHeight="1">
      <c r="A877" s="12">
        <v>583</v>
      </c>
      <c r="B877" s="13"/>
      <c r="C877" s="13"/>
      <c r="D877" s="13"/>
      <c r="E877" s="13"/>
      <c r="F877" s="14"/>
      <c r="G877" s="15"/>
      <c r="H877" s="15"/>
      <c r="I877" s="24"/>
      <c r="J877" s="17"/>
      <c r="K877" s="18"/>
      <c r="L877" s="19"/>
      <c r="M877" s="31"/>
      <c r="N877" s="21"/>
      <c r="O877" s="30"/>
      <c r="P877" s="30"/>
      <c r="Q877" s="23"/>
      <c r="R877" s="24"/>
      <c r="U877" t="s">
        <v>88</v>
      </c>
      <c r="V877" t="s">
        <v>89</v>
      </c>
      <c r="W877" t="s">
        <v>90</v>
      </c>
      <c r="X877" t="s">
        <v>91</v>
      </c>
      <c r="Y877" t="s">
        <v>92</v>
      </c>
      <c r="AA877" t="s">
        <v>93</v>
      </c>
      <c r="AB877" t="s">
        <v>94</v>
      </c>
      <c r="AC877" t="s">
        <v>95</v>
      </c>
      <c r="AD877" t="s">
        <v>96</v>
      </c>
      <c r="AE877" t="s">
        <v>97</v>
      </c>
    </row>
    <row r="878" spans="1:32" ht="22.15" customHeight="1">
      <c r="A878" s="12">
        <v>584</v>
      </c>
      <c r="B878" s="12"/>
      <c r="C878" s="13"/>
      <c r="D878" s="13"/>
      <c r="E878" s="13"/>
      <c r="F878" s="14"/>
      <c r="G878" s="15"/>
      <c r="H878" s="15"/>
      <c r="I878" s="24"/>
      <c r="J878" s="17"/>
      <c r="K878" s="18"/>
      <c r="L878" s="19"/>
      <c r="M878" s="31"/>
      <c r="N878" s="21"/>
      <c r="O878" s="30"/>
      <c r="P878" s="30"/>
      <c r="Q878" s="23"/>
      <c r="R878" s="24"/>
      <c r="V878" t="s">
        <v>98</v>
      </c>
      <c r="W878" t="s">
        <v>99</v>
      </c>
    </row>
    <row r="879" spans="1:32" ht="22.15" customHeight="1">
      <c r="A879" s="12">
        <v>585</v>
      </c>
      <c r="B879" s="12"/>
      <c r="C879" s="13"/>
      <c r="D879" s="13"/>
      <c r="E879" s="13"/>
      <c r="F879" s="14"/>
      <c r="G879" s="15"/>
      <c r="H879" s="15"/>
      <c r="I879" s="24"/>
      <c r="J879" s="17"/>
      <c r="K879" s="18"/>
      <c r="L879" s="19"/>
      <c r="M879" s="31"/>
      <c r="N879" s="21"/>
      <c r="O879" s="30"/>
      <c r="P879" s="30"/>
      <c r="Q879" s="23"/>
      <c r="R879" s="24"/>
      <c r="U879" t="s">
        <v>100</v>
      </c>
      <c r="V879" t="s">
        <v>101</v>
      </c>
      <c r="W879" t="s">
        <v>102</v>
      </c>
      <c r="X879" t="s">
        <v>103</v>
      </c>
      <c r="Y879" t="s">
        <v>103</v>
      </c>
      <c r="AA879" t="s">
        <v>104</v>
      </c>
      <c r="AB879" t="s">
        <v>105</v>
      </c>
      <c r="AC879" t="s">
        <v>106</v>
      </c>
      <c r="AD879" t="s">
        <v>40</v>
      </c>
      <c r="AE879" t="s">
        <v>107</v>
      </c>
    </row>
    <row r="880" spans="1:32" ht="22.15" customHeight="1">
      <c r="A880" s="12">
        <v>586</v>
      </c>
      <c r="B880" s="12"/>
      <c r="C880" s="13"/>
      <c r="D880" s="13"/>
      <c r="E880" s="13"/>
      <c r="F880" s="14"/>
      <c r="G880" s="15"/>
      <c r="H880" s="15"/>
      <c r="I880" s="24"/>
      <c r="J880" s="17"/>
      <c r="K880" s="18"/>
      <c r="L880" s="19"/>
      <c r="M880" s="31"/>
      <c r="N880" s="21"/>
      <c r="O880" s="30"/>
      <c r="P880" s="30"/>
      <c r="Q880" s="23"/>
      <c r="R880" s="24"/>
      <c r="X880" t="s">
        <v>108</v>
      </c>
      <c r="Y880" t="s">
        <v>108</v>
      </c>
      <c r="AA880" t="s">
        <v>109</v>
      </c>
      <c r="AB880" t="s">
        <v>110</v>
      </c>
      <c r="AC880" t="s">
        <v>111</v>
      </c>
      <c r="AD880" t="s">
        <v>52</v>
      </c>
    </row>
    <row r="881" spans="1:31" ht="22.15" customHeight="1">
      <c r="A881" s="12">
        <v>587</v>
      </c>
      <c r="B881" s="12"/>
      <c r="C881" s="13"/>
      <c r="D881" s="13"/>
      <c r="E881" s="13"/>
      <c r="F881" s="14"/>
      <c r="G881" s="15"/>
      <c r="H881" s="15"/>
      <c r="I881" s="24"/>
      <c r="J881" s="17"/>
      <c r="K881" s="18"/>
      <c r="L881" s="19"/>
      <c r="M881" s="31"/>
      <c r="N881" s="21"/>
      <c r="O881" s="30"/>
      <c r="P881" s="30"/>
      <c r="Q881" s="23"/>
      <c r="R881" s="24"/>
      <c r="U881" t="s">
        <v>112</v>
      </c>
      <c r="V881" t="s">
        <v>113</v>
      </c>
      <c r="W881" t="s">
        <v>114</v>
      </c>
      <c r="X881" t="s">
        <v>115</v>
      </c>
      <c r="Y881" t="s">
        <v>116</v>
      </c>
      <c r="AA881" t="s">
        <v>117</v>
      </c>
      <c r="AB881" t="s">
        <v>118</v>
      </c>
      <c r="AC881" t="s">
        <v>119</v>
      </c>
      <c r="AD881" t="s">
        <v>68</v>
      </c>
      <c r="AE881" t="s">
        <v>120</v>
      </c>
    </row>
    <row r="882" spans="1:31" ht="22.15" customHeight="1">
      <c r="A882" s="12">
        <v>588</v>
      </c>
      <c r="B882" s="12"/>
      <c r="C882" s="13"/>
      <c r="D882" s="13"/>
      <c r="E882" s="13"/>
      <c r="F882" s="14"/>
      <c r="G882" s="15"/>
      <c r="H882" s="15"/>
      <c r="I882" s="24"/>
      <c r="J882" s="17"/>
      <c r="K882" s="18"/>
      <c r="L882" s="19"/>
      <c r="M882" s="31"/>
      <c r="N882" s="21"/>
      <c r="O882" s="30"/>
      <c r="P882" s="30"/>
      <c r="Q882" s="23"/>
      <c r="R882" s="24"/>
      <c r="V882" t="s">
        <v>121</v>
      </c>
      <c r="W882" t="s">
        <v>122</v>
      </c>
      <c r="AE882" t="s">
        <v>123</v>
      </c>
    </row>
    <row r="883" spans="1:31" ht="22.15" customHeight="1">
      <c r="A883" s="12">
        <v>589</v>
      </c>
      <c r="B883" s="12"/>
      <c r="C883" s="13"/>
      <c r="D883" s="13"/>
      <c r="E883" s="13"/>
      <c r="F883" s="14"/>
      <c r="G883" s="15"/>
      <c r="H883" s="15"/>
      <c r="I883" s="24"/>
      <c r="J883" s="17"/>
      <c r="K883" s="18"/>
      <c r="L883" s="19"/>
      <c r="M883" s="31"/>
      <c r="N883" s="21"/>
      <c r="O883" s="30"/>
      <c r="P883" s="30"/>
      <c r="Q883" s="23"/>
      <c r="R883" s="24"/>
      <c r="U883" t="s">
        <v>124</v>
      </c>
      <c r="V883" t="s">
        <v>125</v>
      </c>
      <c r="W883" t="s">
        <v>126</v>
      </c>
      <c r="X883" t="s">
        <v>127</v>
      </c>
      <c r="Y883" t="s">
        <v>128</v>
      </c>
      <c r="AA883" t="s">
        <v>128</v>
      </c>
      <c r="AB883" t="s">
        <v>129</v>
      </c>
      <c r="AC883" t="s">
        <v>130</v>
      </c>
      <c r="AD883" t="s">
        <v>131</v>
      </c>
      <c r="AE883" t="s">
        <v>132</v>
      </c>
    </row>
    <row r="884" spans="1:31" ht="22.15" customHeight="1">
      <c r="A884" s="12">
        <v>590</v>
      </c>
      <c r="B884" s="12"/>
      <c r="C884" s="13"/>
      <c r="D884" s="13"/>
      <c r="E884" s="13"/>
      <c r="F884" s="14"/>
      <c r="G884" s="15"/>
      <c r="H884" s="15"/>
      <c r="I884" s="24"/>
      <c r="J884" s="17"/>
      <c r="K884" s="18"/>
      <c r="L884" s="19"/>
      <c r="M884" s="31"/>
      <c r="N884" s="21"/>
      <c r="O884" s="30"/>
      <c r="P884" s="30"/>
      <c r="Q884" s="23"/>
      <c r="R884" s="24"/>
      <c r="U884" t="s">
        <v>134</v>
      </c>
      <c r="X884" t="s">
        <v>135</v>
      </c>
      <c r="Y884" t="s">
        <v>136</v>
      </c>
      <c r="AA884" t="s">
        <v>136</v>
      </c>
      <c r="AB884" t="s">
        <v>137</v>
      </c>
      <c r="AC884" t="s">
        <v>138</v>
      </c>
      <c r="AD884" t="s">
        <v>139</v>
      </c>
    </row>
    <row r="885" spans="1:31" ht="22.15" customHeight="1">
      <c r="A885" s="12">
        <v>591</v>
      </c>
      <c r="B885" s="12"/>
      <c r="C885" s="13"/>
      <c r="D885" s="13"/>
      <c r="E885" s="13"/>
      <c r="F885" s="14"/>
      <c r="G885" s="15"/>
      <c r="H885" s="15"/>
      <c r="I885" s="24"/>
      <c r="J885" s="17"/>
      <c r="K885" s="18"/>
      <c r="L885" s="19"/>
      <c r="M885" s="31"/>
      <c r="N885" s="21"/>
      <c r="O885" s="30"/>
      <c r="P885" s="30"/>
      <c r="Q885" s="23"/>
      <c r="R885" s="24"/>
      <c r="U885" t="s">
        <v>140</v>
      </c>
      <c r="V885" t="s">
        <v>141</v>
      </c>
      <c r="W885" t="s">
        <v>142</v>
      </c>
      <c r="X885" t="s">
        <v>143</v>
      </c>
      <c r="Y885" t="s">
        <v>144</v>
      </c>
      <c r="AA885" t="s">
        <v>144</v>
      </c>
      <c r="AB885" t="s">
        <v>145</v>
      </c>
      <c r="AC885" t="s">
        <v>146</v>
      </c>
      <c r="AD885" t="s">
        <v>147</v>
      </c>
    </row>
    <row r="886" spans="1:31" ht="22.15" customHeight="1">
      <c r="A886" s="12">
        <v>592</v>
      </c>
      <c r="B886" s="12"/>
      <c r="C886" s="13"/>
      <c r="D886" s="13"/>
      <c r="E886" s="13"/>
      <c r="F886" s="14"/>
      <c r="G886" s="15"/>
      <c r="H886" s="15"/>
      <c r="I886" s="24"/>
      <c r="J886" s="17"/>
      <c r="K886" s="18"/>
      <c r="L886" s="19"/>
      <c r="M886" s="31"/>
      <c r="N886" s="21"/>
      <c r="O886" s="30"/>
      <c r="P886" s="30"/>
      <c r="Q886" s="23"/>
      <c r="R886" s="24"/>
      <c r="V886" t="s">
        <v>148</v>
      </c>
    </row>
    <row r="887" spans="1:31" ht="22.15" customHeight="1">
      <c r="A887" s="12">
        <v>593</v>
      </c>
      <c r="B887" s="12"/>
      <c r="C887" s="13"/>
      <c r="D887" s="13"/>
      <c r="E887" s="13"/>
      <c r="F887" s="14"/>
      <c r="G887" s="15"/>
      <c r="H887" s="15"/>
      <c r="I887" s="24"/>
      <c r="J887" s="17"/>
      <c r="K887" s="18"/>
      <c r="L887" s="19"/>
      <c r="M887" s="31"/>
      <c r="N887" s="21"/>
      <c r="O887" s="30"/>
      <c r="P887" s="30"/>
      <c r="Q887" s="23"/>
      <c r="R887" s="24"/>
      <c r="U887" t="s">
        <v>149</v>
      </c>
      <c r="W887" t="s">
        <v>150</v>
      </c>
      <c r="X887" t="s">
        <v>151</v>
      </c>
      <c r="Y887" t="s">
        <v>127</v>
      </c>
      <c r="AA887" t="s">
        <v>129</v>
      </c>
      <c r="AB887" t="s">
        <v>130</v>
      </c>
      <c r="AC887" t="s">
        <v>78</v>
      </c>
      <c r="AD887" t="s">
        <v>152</v>
      </c>
    </row>
    <row r="888" spans="1:31" ht="22.15" customHeight="1">
      <c r="A888" s="12">
        <v>594</v>
      </c>
      <c r="B888" s="12"/>
      <c r="C888" s="13"/>
      <c r="D888" s="13"/>
      <c r="E888" s="13"/>
      <c r="F888" s="14"/>
      <c r="G888" s="15"/>
      <c r="H888" s="15"/>
      <c r="I888" s="24"/>
      <c r="J888" s="17"/>
      <c r="K888" s="18"/>
      <c r="L888" s="19"/>
      <c r="M888" s="31"/>
      <c r="N888" s="21"/>
      <c r="O888" s="30"/>
      <c r="P888" s="30"/>
      <c r="Q888" s="23"/>
      <c r="R888" s="24"/>
      <c r="U888" t="s">
        <v>153</v>
      </c>
      <c r="V888" t="s">
        <v>154</v>
      </c>
      <c r="W888" t="s">
        <v>155</v>
      </c>
      <c r="X888" t="s">
        <v>156</v>
      </c>
      <c r="Y888" t="s">
        <v>135</v>
      </c>
      <c r="AA888" t="s">
        <v>137</v>
      </c>
      <c r="AB888" t="s">
        <v>138</v>
      </c>
      <c r="AC888" t="s">
        <v>86</v>
      </c>
      <c r="AD888" t="s">
        <v>157</v>
      </c>
    </row>
    <row r="889" spans="1:31" ht="22.15" customHeight="1">
      <c r="A889" s="12">
        <v>595</v>
      </c>
      <c r="B889" s="12"/>
      <c r="C889" s="13"/>
      <c r="D889" s="13"/>
      <c r="E889" s="13"/>
      <c r="F889" s="14"/>
      <c r="G889" s="15"/>
      <c r="H889" s="15"/>
      <c r="I889" s="24"/>
      <c r="J889" s="17"/>
      <c r="K889" s="18"/>
      <c r="L889" s="19"/>
      <c r="M889" s="31"/>
      <c r="N889" s="21"/>
      <c r="O889" s="30"/>
      <c r="P889" s="30"/>
      <c r="Q889" s="23"/>
      <c r="R889" s="24"/>
      <c r="U889" t="s">
        <v>158</v>
      </c>
      <c r="V889" t="s">
        <v>159</v>
      </c>
      <c r="X889" t="s">
        <v>160</v>
      </c>
      <c r="Y889" t="s">
        <v>143</v>
      </c>
      <c r="AA889" t="s">
        <v>145</v>
      </c>
      <c r="AB889" t="s">
        <v>146</v>
      </c>
      <c r="AC889" t="s">
        <v>96</v>
      </c>
      <c r="AD889" t="s">
        <v>161</v>
      </c>
    </row>
    <row r="890" spans="1:31" ht="22.15" customHeight="1">
      <c r="A890" s="12">
        <v>596</v>
      </c>
      <c r="B890" s="12"/>
      <c r="C890" s="13"/>
      <c r="D890" s="13"/>
      <c r="E890" s="13"/>
      <c r="F890" s="14"/>
      <c r="G890" s="15"/>
      <c r="H890" s="15"/>
      <c r="I890" s="24"/>
      <c r="J890" s="17"/>
      <c r="K890" s="18"/>
      <c r="L890" s="19"/>
      <c r="M890" s="31"/>
      <c r="N890" s="21"/>
      <c r="O890" s="30"/>
      <c r="P890" s="30"/>
      <c r="Q890" s="23"/>
      <c r="R890" s="24"/>
      <c r="V890" t="s">
        <v>162</v>
      </c>
      <c r="W890" t="s">
        <v>163</v>
      </c>
    </row>
    <row r="891" spans="1:31" ht="22.15" customHeight="1">
      <c r="A891" s="12">
        <v>597</v>
      </c>
      <c r="B891" s="12"/>
      <c r="C891" s="13"/>
      <c r="D891" s="13"/>
      <c r="E891" s="13"/>
      <c r="F891" s="14"/>
      <c r="G891" s="15"/>
      <c r="H891" s="15"/>
      <c r="I891" s="24"/>
      <c r="J891" s="17"/>
      <c r="K891" s="18"/>
      <c r="L891" s="19"/>
      <c r="M891" s="31"/>
      <c r="N891" s="21"/>
      <c r="O891" s="30"/>
      <c r="P891" s="30"/>
      <c r="Q891" s="23"/>
      <c r="R891" s="24"/>
      <c r="U891" t="s">
        <v>164</v>
      </c>
      <c r="W891" t="s">
        <v>165</v>
      </c>
      <c r="X891" t="s">
        <v>166</v>
      </c>
      <c r="Y891" t="s">
        <v>151</v>
      </c>
      <c r="AA891" t="s">
        <v>151</v>
      </c>
      <c r="AB891" t="s">
        <v>167</v>
      </c>
      <c r="AC891" t="s">
        <v>168</v>
      </c>
      <c r="AD891" t="s">
        <v>169</v>
      </c>
    </row>
    <row r="892" spans="1:31" ht="22.15" customHeight="1">
      <c r="A892" s="12">
        <v>598</v>
      </c>
      <c r="B892" s="12"/>
      <c r="C892" s="13"/>
      <c r="D892" s="13"/>
      <c r="E892" s="13"/>
      <c r="F892" s="14"/>
      <c r="G892" s="15"/>
      <c r="H892" s="15"/>
      <c r="I892" s="24"/>
      <c r="J892" s="17"/>
      <c r="K892" s="18"/>
      <c r="L892" s="19"/>
      <c r="M892" s="31"/>
      <c r="N892" s="21"/>
      <c r="O892" s="30"/>
      <c r="P892" s="30"/>
      <c r="Q892" s="23"/>
      <c r="R892" s="24"/>
      <c r="U892" t="s">
        <v>170</v>
      </c>
      <c r="V892" t="s">
        <v>171</v>
      </c>
      <c r="W892" t="s">
        <v>172</v>
      </c>
      <c r="Y892" t="s">
        <v>156</v>
      </c>
      <c r="AA892" t="s">
        <v>156</v>
      </c>
      <c r="AB892" t="s">
        <v>173</v>
      </c>
      <c r="AC892" t="s">
        <v>174</v>
      </c>
      <c r="AD892" t="s">
        <v>175</v>
      </c>
    </row>
    <row r="893" spans="1:31" ht="22.15" customHeight="1">
      <c r="A893" s="12">
        <v>599</v>
      </c>
      <c r="B893" s="12"/>
      <c r="C893" s="13"/>
      <c r="D893" s="13"/>
      <c r="E893" s="13"/>
      <c r="F893" s="14"/>
      <c r="G893" s="15"/>
      <c r="H893" s="15"/>
      <c r="I893" s="24"/>
      <c r="J893" s="17"/>
      <c r="K893" s="18"/>
      <c r="L893" s="19"/>
      <c r="M893" s="31"/>
      <c r="N893" s="21"/>
      <c r="O893" s="30"/>
      <c r="P893" s="30"/>
      <c r="Q893" s="23"/>
      <c r="R893" s="24"/>
      <c r="U893" t="s">
        <v>176</v>
      </c>
      <c r="V893" t="s">
        <v>177</v>
      </c>
      <c r="X893" t="s">
        <v>178</v>
      </c>
      <c r="Y893" t="s">
        <v>160</v>
      </c>
      <c r="AA893" t="s">
        <v>160</v>
      </c>
      <c r="AB893" t="s">
        <v>179</v>
      </c>
      <c r="AC893" t="s">
        <v>180</v>
      </c>
      <c r="AD893" t="s">
        <v>181</v>
      </c>
    </row>
    <row r="894" spans="1:31" ht="22.15" customHeight="1">
      <c r="A894" s="12">
        <v>600</v>
      </c>
      <c r="B894" s="12"/>
      <c r="C894" s="13"/>
      <c r="D894" s="13"/>
      <c r="E894" s="13"/>
      <c r="F894" s="14"/>
      <c r="G894" s="15"/>
      <c r="H894" s="15"/>
      <c r="I894" s="24"/>
      <c r="J894" s="17"/>
      <c r="K894" s="18"/>
      <c r="L894" s="19"/>
      <c r="M894" s="31"/>
      <c r="N894" s="21"/>
      <c r="O894" s="30"/>
      <c r="P894" s="30"/>
      <c r="Q894" s="23"/>
      <c r="R894" s="24"/>
      <c r="V894" t="s">
        <v>184</v>
      </c>
      <c r="W894" t="s">
        <v>185</v>
      </c>
      <c r="X894" t="s">
        <v>186</v>
      </c>
    </row>
    <row r="895" spans="1:31" ht="18" customHeight="1">
      <c r="A895" s="47" t="s">
        <v>302</v>
      </c>
      <c r="B895" s="48"/>
      <c r="C895" s="48"/>
      <c r="D895" s="48"/>
      <c r="E895" s="49"/>
      <c r="F895" s="50" t="s">
        <v>183</v>
      </c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2"/>
      <c r="U895" t="s">
        <v>320</v>
      </c>
      <c r="W895" t="s">
        <v>321</v>
      </c>
      <c r="X895" t="s">
        <v>322</v>
      </c>
      <c r="Y895" t="s">
        <v>323</v>
      </c>
      <c r="AA895" s="16" t="s">
        <v>167</v>
      </c>
      <c r="AB895" s="16" t="s">
        <v>168</v>
      </c>
      <c r="AC895" s="16" t="s">
        <v>131</v>
      </c>
      <c r="AD895" s="16" t="s">
        <v>253</v>
      </c>
    </row>
    <row r="896" spans="1:31" ht="18" customHeight="1">
      <c r="A896" s="12">
        <v>1</v>
      </c>
      <c r="B896" s="47" t="s">
        <v>187</v>
      </c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9"/>
      <c r="AA896" s="27" t="s">
        <v>188</v>
      </c>
      <c r="AB896" s="27" t="s">
        <v>189</v>
      </c>
      <c r="AC896" s="27" t="s">
        <v>190</v>
      </c>
    </row>
    <row r="897" spans="1:32" ht="18" customHeight="1">
      <c r="A897" s="23">
        <v>2</v>
      </c>
      <c r="B897" s="53" t="s">
        <v>191</v>
      </c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5"/>
      <c r="U897" t="s">
        <v>192</v>
      </c>
      <c r="V897" s="16" t="s">
        <v>193</v>
      </c>
      <c r="W897" t="s">
        <v>194</v>
      </c>
      <c r="Y897" t="s">
        <v>195</v>
      </c>
      <c r="AA897" s="16" t="s">
        <v>173</v>
      </c>
      <c r="AB897" s="16" t="s">
        <v>174</v>
      </c>
      <c r="AC897" s="16" t="s">
        <v>139</v>
      </c>
      <c r="AD897" s="16" t="s">
        <v>196</v>
      </c>
    </row>
    <row r="898" spans="1:32" ht="18" customHeight="1">
      <c r="A898" s="23">
        <v>3</v>
      </c>
      <c r="B898" s="47" t="s">
        <v>197</v>
      </c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9"/>
      <c r="V898" s="16" t="s">
        <v>198</v>
      </c>
      <c r="X898" s="16" t="s">
        <v>199</v>
      </c>
      <c r="Y898" t="s">
        <v>200</v>
      </c>
      <c r="AA898" s="16" t="s">
        <v>179</v>
      </c>
      <c r="AB898" s="16" t="s">
        <v>180</v>
      </c>
      <c r="AC898" s="16" t="s">
        <v>147</v>
      </c>
      <c r="AD898" s="16" t="s">
        <v>201</v>
      </c>
    </row>
    <row r="899" spans="1:32" ht="18" customHeight="1">
      <c r="A899" s="37" t="s">
        <v>202</v>
      </c>
      <c r="B899" s="38"/>
      <c r="C899" s="39">
        <f>C569</f>
        <v>0</v>
      </c>
      <c r="D899" s="39"/>
      <c r="E899" s="37" t="s">
        <v>203</v>
      </c>
      <c r="F899" s="40"/>
      <c r="G899" s="41">
        <f>G569</f>
        <v>0</v>
      </c>
      <c r="H899" s="42"/>
      <c r="I899" s="42"/>
      <c r="J899" s="42"/>
      <c r="K899" s="28" t="s">
        <v>204</v>
      </c>
      <c r="L899" s="43" t="s">
        <v>205</v>
      </c>
      <c r="M899" s="43"/>
      <c r="N899" s="43"/>
      <c r="O899" s="43"/>
      <c r="P899" s="43"/>
      <c r="Q899" s="43"/>
      <c r="R899" s="43"/>
      <c r="U899" t="s">
        <v>206</v>
      </c>
      <c r="W899" s="16" t="s">
        <v>207</v>
      </c>
      <c r="X899" s="16" t="s">
        <v>208</v>
      </c>
    </row>
    <row r="900" spans="1:32" ht="18" customHeight="1">
      <c r="A900" s="37" t="s">
        <v>209</v>
      </c>
      <c r="B900" s="38"/>
      <c r="C900" s="39">
        <f>C570</f>
        <v>0</v>
      </c>
      <c r="D900" s="39"/>
      <c r="E900" s="37" t="s">
        <v>210</v>
      </c>
      <c r="F900" s="40"/>
      <c r="G900" s="41">
        <f>G570</f>
        <v>0</v>
      </c>
      <c r="H900" s="42"/>
      <c r="I900" s="42"/>
      <c r="J900" s="42"/>
      <c r="K900" s="28" t="s">
        <v>204</v>
      </c>
      <c r="L900" s="43" t="s">
        <v>205</v>
      </c>
      <c r="M900" s="43"/>
      <c r="N900" s="43"/>
      <c r="O900" s="43"/>
      <c r="P900" s="43"/>
      <c r="Q900" s="43"/>
      <c r="R900" s="43"/>
      <c r="V900" s="16" t="s">
        <v>211</v>
      </c>
      <c r="W900" s="16" t="s">
        <v>212</v>
      </c>
      <c r="Y900" t="s">
        <v>213</v>
      </c>
      <c r="AA900" s="16" t="s">
        <v>214</v>
      </c>
      <c r="AB900" s="16" t="s">
        <v>214</v>
      </c>
      <c r="AC900" s="16" t="s">
        <v>215</v>
      </c>
      <c r="AD900" s="16" t="s">
        <v>216</v>
      </c>
    </row>
    <row r="901" spans="1:32" ht="48" customHeight="1">
      <c r="A901" s="69" t="s">
        <v>0</v>
      </c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1" t="s">
        <v>1</v>
      </c>
      <c r="M901" s="71"/>
      <c r="N901" s="71"/>
      <c r="O901" s="71"/>
      <c r="P901" s="71"/>
      <c r="Q901" s="1" t="s">
        <v>2</v>
      </c>
      <c r="R901" s="2" t="s">
        <v>3</v>
      </c>
      <c r="S901" s="3"/>
      <c r="T901" s="3" t="s">
        <v>4</v>
      </c>
      <c r="U901" s="4" t="s">
        <v>5</v>
      </c>
      <c r="V901" s="4" t="s">
        <v>6</v>
      </c>
      <c r="W901" s="4" t="s">
        <v>7</v>
      </c>
      <c r="X901" s="4" t="s">
        <v>8</v>
      </c>
      <c r="Y901" s="4" t="s">
        <v>9</v>
      </c>
      <c r="Z901" s="4"/>
      <c r="AA901" s="4" t="s">
        <v>10</v>
      </c>
      <c r="AB901" s="4" t="s">
        <v>11</v>
      </c>
      <c r="AC901" s="4" t="s">
        <v>12</v>
      </c>
      <c r="AD901" s="4" t="s">
        <v>13</v>
      </c>
      <c r="AE901" s="4" t="s">
        <v>14</v>
      </c>
      <c r="AF901" s="4" t="s">
        <v>15</v>
      </c>
    </row>
    <row r="902" spans="1:32" s="8" customFormat="1" ht="18" customHeight="1">
      <c r="A902" s="5" t="s">
        <v>16</v>
      </c>
      <c r="B902" s="44">
        <f>B542</f>
        <v>0</v>
      </c>
      <c r="C902" s="45"/>
      <c r="D902" s="45"/>
      <c r="E902" s="6" t="str">
        <f>E542</f>
        <v>Version:1</v>
      </c>
      <c r="F902" s="72" t="s">
        <v>18</v>
      </c>
      <c r="G902" s="74" t="s">
        <v>19</v>
      </c>
      <c r="H902" s="74" t="s">
        <v>20</v>
      </c>
      <c r="I902" s="77" t="s">
        <v>21</v>
      </c>
      <c r="J902" s="62" t="s">
        <v>22</v>
      </c>
      <c r="K902" s="79" t="s">
        <v>23</v>
      </c>
      <c r="L902" s="62" t="s">
        <v>24</v>
      </c>
      <c r="M902" s="56" t="s">
        <v>25</v>
      </c>
      <c r="N902" s="59" t="s">
        <v>26</v>
      </c>
      <c r="O902" s="62" t="s">
        <v>27</v>
      </c>
      <c r="P902" s="65" t="s">
        <v>28</v>
      </c>
      <c r="Q902" s="66" t="s">
        <v>29</v>
      </c>
      <c r="R902" s="68" t="s">
        <v>30</v>
      </c>
      <c r="S902"/>
      <c r="T902" s="7" t="str">
        <f>IF(C935&gt;18,IF(C935=20,Nennweite20,IF(C935=60,U904,IF(C935=50,Nennweite50,IF(C935=25,Nennweite25,IF(C935=32,Nennweite32,IF(C935=40,Nennweite40,"&gt;")))))),IF(C935=8,Nennweite8,IF(C935=6,Nennweite6,IF(C935=10,Nennweite10,IF(C935=18,Nennweite18,IF(C935=16,Nennweite16,IF(C935=12,Nennweite12,"")))))))</f>
        <v/>
      </c>
      <c r="U902" t="s">
        <v>31</v>
      </c>
      <c r="V902" t="s">
        <v>32</v>
      </c>
      <c r="W902" t="s">
        <v>33</v>
      </c>
      <c r="X902" t="s">
        <v>34</v>
      </c>
      <c r="Y902" t="s">
        <v>35</v>
      </c>
      <c r="Z902"/>
      <c r="AA902" t="s">
        <v>36</v>
      </c>
      <c r="AB902" t="s">
        <v>37</v>
      </c>
      <c r="AC902" t="s">
        <v>38</v>
      </c>
      <c r="AD902" t="s">
        <v>39</v>
      </c>
      <c r="AE902" t="s">
        <v>40</v>
      </c>
      <c r="AF902" t="s">
        <v>41</v>
      </c>
    </row>
    <row r="903" spans="1:32" ht="18" customHeight="1">
      <c r="A903" s="5" t="s">
        <v>42</v>
      </c>
      <c r="B903" s="44">
        <f>B543</f>
        <v>0</v>
      </c>
      <c r="C903" s="45"/>
      <c r="D903" s="45"/>
      <c r="E903" s="46"/>
      <c r="F903" s="72"/>
      <c r="G903" s="75"/>
      <c r="H903" s="75"/>
      <c r="I903" s="77"/>
      <c r="J903" s="63"/>
      <c r="K903" s="80"/>
      <c r="L903" s="63"/>
      <c r="M903" s="57"/>
      <c r="N903" s="60"/>
      <c r="O903" s="63"/>
      <c r="P903" s="63"/>
      <c r="Q903" s="66"/>
      <c r="R903" s="66"/>
      <c r="U903" t="s">
        <v>43</v>
      </c>
      <c r="V903" t="s">
        <v>44</v>
      </c>
      <c r="W903" t="s">
        <v>45</v>
      </c>
      <c r="X903" t="s">
        <v>46</v>
      </c>
      <c r="Y903" t="s">
        <v>47</v>
      </c>
      <c r="AA903" t="s">
        <v>48</v>
      </c>
      <c r="AB903" t="s">
        <v>49</v>
      </c>
      <c r="AC903" t="s">
        <v>50</v>
      </c>
      <c r="AD903" t="s">
        <v>51</v>
      </c>
      <c r="AE903" t="s">
        <v>52</v>
      </c>
      <c r="AF903" t="s">
        <v>53</v>
      </c>
    </row>
    <row r="904" spans="1:32" ht="18" customHeight="1" thickBot="1">
      <c r="A904" s="9" t="s">
        <v>54</v>
      </c>
      <c r="B904" s="10" t="s">
        <v>55</v>
      </c>
      <c r="C904" s="10" t="s">
        <v>56</v>
      </c>
      <c r="D904" s="11" t="s">
        <v>57</v>
      </c>
      <c r="E904" s="9" t="s">
        <v>58</v>
      </c>
      <c r="F904" s="73"/>
      <c r="G904" s="76"/>
      <c r="H904" s="76"/>
      <c r="I904" s="78"/>
      <c r="J904" s="64"/>
      <c r="K904" s="81"/>
      <c r="L904" s="64"/>
      <c r="M904" s="58"/>
      <c r="N904" s="61"/>
      <c r="O904" s="64"/>
      <c r="P904" s="64"/>
      <c r="Q904" s="67"/>
      <c r="R904" s="67"/>
      <c r="U904" t="s">
        <v>59</v>
      </c>
      <c r="V904" t="s">
        <v>60</v>
      </c>
      <c r="W904" t="s">
        <v>61</v>
      </c>
      <c r="X904" t="s">
        <v>62</v>
      </c>
      <c r="Y904" t="s">
        <v>63</v>
      </c>
      <c r="AA904" t="s">
        <v>64</v>
      </c>
      <c r="AB904" t="s">
        <v>65</v>
      </c>
      <c r="AC904" t="s">
        <v>66</v>
      </c>
      <c r="AD904" t="s">
        <v>67</v>
      </c>
      <c r="AE904" t="s">
        <v>68</v>
      </c>
      <c r="AF904" t="s">
        <v>69</v>
      </c>
    </row>
    <row r="905" spans="1:32" ht="22.15" customHeight="1">
      <c r="A905" s="12">
        <v>601</v>
      </c>
      <c r="B905" s="13"/>
      <c r="C905" s="13"/>
      <c r="D905" s="13"/>
      <c r="E905" s="13"/>
      <c r="F905" s="14"/>
      <c r="G905" s="15"/>
      <c r="H905" s="15"/>
      <c r="I905" s="24"/>
      <c r="J905" s="17"/>
      <c r="K905" s="18"/>
      <c r="L905" s="19"/>
      <c r="M905" s="31"/>
      <c r="N905" s="21"/>
      <c r="O905" s="30"/>
      <c r="P905" s="30"/>
      <c r="Q905" s="23"/>
      <c r="R905" s="24"/>
      <c r="U905" t="s">
        <v>70</v>
      </c>
      <c r="V905" t="s">
        <v>71</v>
      </c>
      <c r="W905" t="s">
        <v>72</v>
      </c>
      <c r="X905" t="s">
        <v>73</v>
      </c>
      <c r="Y905" t="s">
        <v>74</v>
      </c>
      <c r="AA905" t="s">
        <v>75</v>
      </c>
      <c r="AB905" t="s">
        <v>76</v>
      </c>
      <c r="AC905" t="s">
        <v>77</v>
      </c>
      <c r="AD905" t="s">
        <v>78</v>
      </c>
      <c r="AE905" t="s">
        <v>79</v>
      </c>
    </row>
    <row r="906" spans="1:32" ht="22.15" customHeight="1">
      <c r="A906" s="12">
        <v>602</v>
      </c>
      <c r="B906" s="13"/>
      <c r="C906" s="13"/>
      <c r="D906" s="13"/>
      <c r="E906" s="13"/>
      <c r="F906" s="14"/>
      <c r="G906" s="15"/>
      <c r="H906" s="15"/>
      <c r="I906" s="24"/>
      <c r="J906" s="17"/>
      <c r="K906" s="18"/>
      <c r="L906" s="19"/>
      <c r="M906" s="31"/>
      <c r="N906" s="21"/>
      <c r="O906" s="30"/>
      <c r="P906" s="30"/>
      <c r="Q906" s="23"/>
      <c r="R906" s="24"/>
      <c r="U906" t="s">
        <v>80</v>
      </c>
      <c r="X906" t="s">
        <v>81</v>
      </c>
      <c r="Y906" t="s">
        <v>82</v>
      </c>
      <c r="AA906" t="s">
        <v>83</v>
      </c>
      <c r="AB906" t="s">
        <v>84</v>
      </c>
      <c r="AC906" t="s">
        <v>85</v>
      </c>
      <c r="AD906" t="s">
        <v>86</v>
      </c>
      <c r="AE906" t="s">
        <v>87</v>
      </c>
    </row>
    <row r="907" spans="1:32" ht="22.15" customHeight="1">
      <c r="A907" s="12">
        <v>603</v>
      </c>
      <c r="B907" s="13"/>
      <c r="C907" s="13"/>
      <c r="D907" s="13"/>
      <c r="E907" s="13"/>
      <c r="F907" s="14"/>
      <c r="G907" s="15"/>
      <c r="H907" s="15"/>
      <c r="I907" s="24"/>
      <c r="J907" s="17"/>
      <c r="K907" s="18"/>
      <c r="L907" s="19"/>
      <c r="M907" s="31"/>
      <c r="N907" s="21"/>
      <c r="O907" s="30"/>
      <c r="P907" s="30"/>
      <c r="Q907" s="23"/>
      <c r="R907" s="24"/>
      <c r="U907" t="s">
        <v>88</v>
      </c>
      <c r="V907" t="s">
        <v>89</v>
      </c>
      <c r="W907" t="s">
        <v>90</v>
      </c>
      <c r="X907" t="s">
        <v>91</v>
      </c>
      <c r="Y907" t="s">
        <v>92</v>
      </c>
      <c r="AA907" t="s">
        <v>93</v>
      </c>
      <c r="AB907" t="s">
        <v>94</v>
      </c>
      <c r="AC907" t="s">
        <v>95</v>
      </c>
      <c r="AD907" t="s">
        <v>96</v>
      </c>
      <c r="AE907" t="s">
        <v>97</v>
      </c>
    </row>
    <row r="908" spans="1:32" ht="22.15" customHeight="1">
      <c r="A908" s="12">
        <v>604</v>
      </c>
      <c r="B908" s="12"/>
      <c r="C908" s="13"/>
      <c r="D908" s="13"/>
      <c r="E908" s="13"/>
      <c r="F908" s="14"/>
      <c r="G908" s="15"/>
      <c r="H908" s="15"/>
      <c r="I908" s="24"/>
      <c r="J908" s="17"/>
      <c r="K908" s="18"/>
      <c r="L908" s="19"/>
      <c r="M908" s="31"/>
      <c r="N908" s="21"/>
      <c r="O908" s="30"/>
      <c r="P908" s="30"/>
      <c r="Q908" s="23"/>
      <c r="R908" s="24"/>
      <c r="V908" t="s">
        <v>98</v>
      </c>
      <c r="W908" t="s">
        <v>99</v>
      </c>
    </row>
    <row r="909" spans="1:32" ht="22.15" customHeight="1">
      <c r="A909" s="12">
        <v>605</v>
      </c>
      <c r="B909" s="12"/>
      <c r="C909" s="13"/>
      <c r="D909" s="13"/>
      <c r="E909" s="13"/>
      <c r="F909" s="14"/>
      <c r="G909" s="15"/>
      <c r="H909" s="15"/>
      <c r="I909" s="24"/>
      <c r="J909" s="17"/>
      <c r="K909" s="18"/>
      <c r="L909" s="19"/>
      <c r="M909" s="31"/>
      <c r="N909" s="21"/>
      <c r="O909" s="30"/>
      <c r="P909" s="30"/>
      <c r="Q909" s="23"/>
      <c r="R909" s="24"/>
      <c r="U909" t="s">
        <v>100</v>
      </c>
      <c r="V909" t="s">
        <v>101</v>
      </c>
      <c r="W909" t="s">
        <v>102</v>
      </c>
      <c r="X909" t="s">
        <v>103</v>
      </c>
      <c r="Y909" t="s">
        <v>103</v>
      </c>
      <c r="AA909" t="s">
        <v>104</v>
      </c>
      <c r="AB909" t="s">
        <v>105</v>
      </c>
      <c r="AC909" t="s">
        <v>106</v>
      </c>
      <c r="AD909" t="s">
        <v>40</v>
      </c>
      <c r="AE909" t="s">
        <v>107</v>
      </c>
    </row>
    <row r="910" spans="1:32" ht="22.15" customHeight="1">
      <c r="A910" s="12">
        <v>606</v>
      </c>
      <c r="B910" s="12"/>
      <c r="C910" s="13"/>
      <c r="D910" s="13"/>
      <c r="E910" s="13"/>
      <c r="F910" s="14"/>
      <c r="G910" s="15"/>
      <c r="H910" s="15"/>
      <c r="I910" s="24"/>
      <c r="J910" s="17"/>
      <c r="K910" s="18"/>
      <c r="L910" s="19"/>
      <c r="M910" s="31"/>
      <c r="N910" s="21"/>
      <c r="O910" s="30"/>
      <c r="P910" s="30"/>
      <c r="Q910" s="23"/>
      <c r="R910" s="24"/>
      <c r="X910" t="s">
        <v>108</v>
      </c>
      <c r="Y910" t="s">
        <v>108</v>
      </c>
      <c r="AA910" t="s">
        <v>109</v>
      </c>
      <c r="AB910" t="s">
        <v>110</v>
      </c>
      <c r="AC910" t="s">
        <v>111</v>
      </c>
      <c r="AD910" t="s">
        <v>52</v>
      </c>
    </row>
    <row r="911" spans="1:32" ht="22.15" customHeight="1">
      <c r="A911" s="12">
        <v>607</v>
      </c>
      <c r="B911" s="12"/>
      <c r="C911" s="13"/>
      <c r="D911" s="13"/>
      <c r="E911" s="13"/>
      <c r="F911" s="14"/>
      <c r="G911" s="15"/>
      <c r="H911" s="15"/>
      <c r="I911" s="24"/>
      <c r="J911" s="17"/>
      <c r="K911" s="18"/>
      <c r="L911" s="19"/>
      <c r="M911" s="31"/>
      <c r="N911" s="21"/>
      <c r="O911" s="30"/>
      <c r="P911" s="30"/>
      <c r="Q911" s="23"/>
      <c r="R911" s="24"/>
      <c r="U911" t="s">
        <v>112</v>
      </c>
      <c r="V911" t="s">
        <v>113</v>
      </c>
      <c r="W911" t="s">
        <v>114</v>
      </c>
      <c r="X911" t="s">
        <v>115</v>
      </c>
      <c r="Y911" t="s">
        <v>116</v>
      </c>
      <c r="AA911" t="s">
        <v>117</v>
      </c>
      <c r="AB911" t="s">
        <v>118</v>
      </c>
      <c r="AC911" t="s">
        <v>119</v>
      </c>
      <c r="AD911" t="s">
        <v>68</v>
      </c>
      <c r="AE911" t="s">
        <v>120</v>
      </c>
    </row>
    <row r="912" spans="1:32" ht="22.15" customHeight="1">
      <c r="A912" s="12">
        <v>608</v>
      </c>
      <c r="B912" s="12"/>
      <c r="C912" s="13"/>
      <c r="D912" s="13"/>
      <c r="E912" s="13"/>
      <c r="F912" s="14"/>
      <c r="G912" s="15"/>
      <c r="H912" s="15"/>
      <c r="I912" s="24"/>
      <c r="J912" s="17"/>
      <c r="K912" s="18"/>
      <c r="L912" s="19"/>
      <c r="M912" s="31"/>
      <c r="N912" s="21"/>
      <c r="O912" s="30"/>
      <c r="P912" s="30"/>
      <c r="Q912" s="23"/>
      <c r="R912" s="24"/>
      <c r="V912" t="s">
        <v>121</v>
      </c>
      <c r="W912" t="s">
        <v>122</v>
      </c>
      <c r="AE912" t="s">
        <v>123</v>
      </c>
    </row>
    <row r="913" spans="1:31" ht="22.15" customHeight="1">
      <c r="A913" s="12">
        <v>609</v>
      </c>
      <c r="B913" s="12"/>
      <c r="C913" s="13"/>
      <c r="D913" s="13"/>
      <c r="E913" s="13"/>
      <c r="F913" s="14"/>
      <c r="G913" s="15"/>
      <c r="H913" s="15"/>
      <c r="I913" s="24"/>
      <c r="J913" s="17"/>
      <c r="K913" s="18"/>
      <c r="L913" s="19"/>
      <c r="M913" s="31"/>
      <c r="N913" s="21"/>
      <c r="O913" s="30"/>
      <c r="P913" s="30"/>
      <c r="Q913" s="23"/>
      <c r="R913" s="24"/>
      <c r="U913" t="s">
        <v>124</v>
      </c>
      <c r="V913" t="s">
        <v>125</v>
      </c>
      <c r="W913" t="s">
        <v>126</v>
      </c>
      <c r="X913" t="s">
        <v>127</v>
      </c>
      <c r="Y913" t="s">
        <v>128</v>
      </c>
      <c r="AA913" t="s">
        <v>128</v>
      </c>
      <c r="AB913" t="s">
        <v>129</v>
      </c>
      <c r="AC913" t="s">
        <v>130</v>
      </c>
      <c r="AD913" t="s">
        <v>131</v>
      </c>
      <c r="AE913" t="s">
        <v>132</v>
      </c>
    </row>
    <row r="914" spans="1:31" ht="22.15" customHeight="1">
      <c r="A914" s="12">
        <v>610</v>
      </c>
      <c r="B914" s="12"/>
      <c r="C914" s="13"/>
      <c r="D914" s="13"/>
      <c r="E914" s="13"/>
      <c r="F914" s="14"/>
      <c r="G914" s="15"/>
      <c r="H914" s="15"/>
      <c r="I914" s="24"/>
      <c r="J914" s="17"/>
      <c r="K914" s="18"/>
      <c r="L914" s="19"/>
      <c r="M914" s="31"/>
      <c r="N914" s="21"/>
      <c r="O914" s="30"/>
      <c r="P914" s="30"/>
      <c r="Q914" s="23"/>
      <c r="R914" s="24"/>
      <c r="U914" t="s">
        <v>134</v>
      </c>
      <c r="X914" t="s">
        <v>135</v>
      </c>
      <c r="Y914" t="s">
        <v>136</v>
      </c>
      <c r="AA914" t="s">
        <v>136</v>
      </c>
      <c r="AB914" t="s">
        <v>137</v>
      </c>
      <c r="AC914" t="s">
        <v>138</v>
      </c>
      <c r="AD914" t="s">
        <v>139</v>
      </c>
    </row>
    <row r="915" spans="1:31" ht="22.15" customHeight="1">
      <c r="A915" s="12">
        <v>611</v>
      </c>
      <c r="B915" s="12"/>
      <c r="C915" s="13"/>
      <c r="D915" s="13"/>
      <c r="E915" s="13"/>
      <c r="F915" s="14"/>
      <c r="G915" s="15"/>
      <c r="H915" s="15"/>
      <c r="I915" s="24"/>
      <c r="J915" s="17"/>
      <c r="K915" s="18"/>
      <c r="L915" s="19"/>
      <c r="M915" s="31"/>
      <c r="N915" s="21"/>
      <c r="O915" s="30"/>
      <c r="P915" s="30"/>
      <c r="Q915" s="23"/>
      <c r="R915" s="24"/>
      <c r="U915" t="s">
        <v>140</v>
      </c>
      <c r="V915" t="s">
        <v>141</v>
      </c>
      <c r="W915" t="s">
        <v>142</v>
      </c>
      <c r="X915" t="s">
        <v>143</v>
      </c>
      <c r="Y915" t="s">
        <v>144</v>
      </c>
      <c r="AA915" t="s">
        <v>144</v>
      </c>
      <c r="AB915" t="s">
        <v>145</v>
      </c>
      <c r="AC915" t="s">
        <v>146</v>
      </c>
      <c r="AD915" t="s">
        <v>147</v>
      </c>
    </row>
    <row r="916" spans="1:31" ht="22.15" customHeight="1">
      <c r="A916" s="12">
        <v>612</v>
      </c>
      <c r="B916" s="12"/>
      <c r="C916" s="13"/>
      <c r="D916" s="13"/>
      <c r="E916" s="13"/>
      <c r="F916" s="14"/>
      <c r="G916" s="15"/>
      <c r="H916" s="15"/>
      <c r="I916" s="24"/>
      <c r="J916" s="17"/>
      <c r="K916" s="18"/>
      <c r="L916" s="19"/>
      <c r="M916" s="31"/>
      <c r="N916" s="21"/>
      <c r="O916" s="30"/>
      <c r="P916" s="30"/>
      <c r="Q916" s="23"/>
      <c r="R916" s="24"/>
      <c r="V916" t="s">
        <v>148</v>
      </c>
    </row>
    <row r="917" spans="1:31" ht="22.15" customHeight="1">
      <c r="A917" s="12">
        <v>613</v>
      </c>
      <c r="B917" s="12"/>
      <c r="C917" s="13"/>
      <c r="D917" s="13"/>
      <c r="E917" s="13"/>
      <c r="F917" s="14"/>
      <c r="G917" s="15"/>
      <c r="H917" s="15"/>
      <c r="I917" s="24"/>
      <c r="J917" s="17"/>
      <c r="K917" s="18"/>
      <c r="L917" s="19"/>
      <c r="M917" s="31"/>
      <c r="N917" s="21"/>
      <c r="O917" s="30"/>
      <c r="P917" s="30"/>
      <c r="Q917" s="23"/>
      <c r="R917" s="24"/>
      <c r="U917" t="s">
        <v>149</v>
      </c>
      <c r="W917" t="s">
        <v>150</v>
      </c>
      <c r="X917" t="s">
        <v>151</v>
      </c>
      <c r="Y917" t="s">
        <v>127</v>
      </c>
      <c r="AA917" t="s">
        <v>129</v>
      </c>
      <c r="AB917" t="s">
        <v>130</v>
      </c>
      <c r="AC917" t="s">
        <v>78</v>
      </c>
      <c r="AD917" t="s">
        <v>152</v>
      </c>
    </row>
    <row r="918" spans="1:31" ht="22.15" customHeight="1">
      <c r="A918" s="12">
        <v>614</v>
      </c>
      <c r="B918" s="12"/>
      <c r="C918" s="13"/>
      <c r="D918" s="13"/>
      <c r="E918" s="13"/>
      <c r="F918" s="14"/>
      <c r="G918" s="15"/>
      <c r="H918" s="15"/>
      <c r="I918" s="24"/>
      <c r="J918" s="17"/>
      <c r="K918" s="18"/>
      <c r="L918" s="19"/>
      <c r="M918" s="31"/>
      <c r="N918" s="21"/>
      <c r="O918" s="30"/>
      <c r="P918" s="30"/>
      <c r="Q918" s="23"/>
      <c r="R918" s="24"/>
      <c r="U918" t="s">
        <v>153</v>
      </c>
      <c r="V918" t="s">
        <v>154</v>
      </c>
      <c r="W918" t="s">
        <v>155</v>
      </c>
      <c r="X918" t="s">
        <v>156</v>
      </c>
      <c r="Y918" t="s">
        <v>135</v>
      </c>
      <c r="AA918" t="s">
        <v>137</v>
      </c>
      <c r="AB918" t="s">
        <v>138</v>
      </c>
      <c r="AC918" t="s">
        <v>86</v>
      </c>
      <c r="AD918" t="s">
        <v>157</v>
      </c>
    </row>
    <row r="919" spans="1:31" ht="22.15" customHeight="1">
      <c r="A919" s="12">
        <v>615</v>
      </c>
      <c r="B919" s="12"/>
      <c r="C919" s="13"/>
      <c r="D919" s="13"/>
      <c r="E919" s="13"/>
      <c r="F919" s="14"/>
      <c r="G919" s="15"/>
      <c r="H919" s="15"/>
      <c r="I919" s="24"/>
      <c r="J919" s="17"/>
      <c r="K919" s="18"/>
      <c r="L919" s="19"/>
      <c r="M919" s="31"/>
      <c r="N919" s="21"/>
      <c r="O919" s="30"/>
      <c r="P919" s="30"/>
      <c r="Q919" s="23"/>
      <c r="R919" s="24"/>
      <c r="U919" t="s">
        <v>158</v>
      </c>
      <c r="V919" t="s">
        <v>159</v>
      </c>
      <c r="X919" t="s">
        <v>160</v>
      </c>
      <c r="Y919" t="s">
        <v>143</v>
      </c>
      <c r="AA919" t="s">
        <v>145</v>
      </c>
      <c r="AB919" t="s">
        <v>146</v>
      </c>
      <c r="AC919" t="s">
        <v>96</v>
      </c>
      <c r="AD919" t="s">
        <v>161</v>
      </c>
    </row>
    <row r="920" spans="1:31" ht="22.15" customHeight="1">
      <c r="A920" s="12">
        <v>616</v>
      </c>
      <c r="B920" s="12"/>
      <c r="C920" s="13"/>
      <c r="D920" s="13"/>
      <c r="E920" s="13"/>
      <c r="F920" s="14"/>
      <c r="G920" s="15"/>
      <c r="H920" s="15"/>
      <c r="I920" s="24"/>
      <c r="J920" s="17"/>
      <c r="K920" s="18"/>
      <c r="L920" s="19"/>
      <c r="M920" s="31"/>
      <c r="N920" s="21"/>
      <c r="O920" s="30"/>
      <c r="P920" s="30"/>
      <c r="Q920" s="23"/>
      <c r="R920" s="24"/>
      <c r="V920" t="s">
        <v>162</v>
      </c>
      <c r="W920" t="s">
        <v>163</v>
      </c>
    </row>
    <row r="921" spans="1:31" ht="22.15" customHeight="1">
      <c r="A921" s="12">
        <v>617</v>
      </c>
      <c r="B921" s="12"/>
      <c r="C921" s="13"/>
      <c r="D921" s="13"/>
      <c r="E921" s="13"/>
      <c r="F921" s="14"/>
      <c r="G921" s="15"/>
      <c r="H921" s="15"/>
      <c r="I921" s="24"/>
      <c r="J921" s="17"/>
      <c r="K921" s="18"/>
      <c r="L921" s="19"/>
      <c r="M921" s="31"/>
      <c r="N921" s="21"/>
      <c r="O921" s="30"/>
      <c r="P921" s="30"/>
      <c r="Q921" s="23"/>
      <c r="R921" s="24"/>
      <c r="U921" t="s">
        <v>164</v>
      </c>
      <c r="W921" t="s">
        <v>165</v>
      </c>
      <c r="X921" t="s">
        <v>166</v>
      </c>
      <c r="Y921" t="s">
        <v>151</v>
      </c>
      <c r="AA921" t="s">
        <v>151</v>
      </c>
      <c r="AB921" t="s">
        <v>167</v>
      </c>
      <c r="AC921" t="s">
        <v>168</v>
      </c>
      <c r="AD921" t="s">
        <v>169</v>
      </c>
    </row>
    <row r="922" spans="1:31" ht="22.15" customHeight="1">
      <c r="A922" s="12">
        <v>618</v>
      </c>
      <c r="B922" s="12"/>
      <c r="C922" s="13"/>
      <c r="D922" s="13"/>
      <c r="E922" s="13"/>
      <c r="F922" s="14"/>
      <c r="G922" s="15"/>
      <c r="H922" s="15"/>
      <c r="I922" s="24"/>
      <c r="J922" s="17"/>
      <c r="K922" s="18"/>
      <c r="L922" s="19"/>
      <c r="M922" s="31"/>
      <c r="N922" s="21"/>
      <c r="O922" s="30"/>
      <c r="P922" s="30"/>
      <c r="Q922" s="23"/>
      <c r="R922" s="24"/>
      <c r="U922" t="s">
        <v>170</v>
      </c>
      <c r="V922" t="s">
        <v>171</v>
      </c>
      <c r="W922" t="s">
        <v>172</v>
      </c>
      <c r="Y922" t="s">
        <v>156</v>
      </c>
      <c r="AA922" t="s">
        <v>156</v>
      </c>
      <c r="AB922" t="s">
        <v>173</v>
      </c>
      <c r="AC922" t="s">
        <v>174</v>
      </c>
      <c r="AD922" t="s">
        <v>175</v>
      </c>
    </row>
    <row r="923" spans="1:31" ht="22.15" customHeight="1">
      <c r="A923" s="12">
        <v>619</v>
      </c>
      <c r="B923" s="12"/>
      <c r="C923" s="13"/>
      <c r="D923" s="13"/>
      <c r="E923" s="13"/>
      <c r="F923" s="14"/>
      <c r="G923" s="15"/>
      <c r="H923" s="15"/>
      <c r="I923" s="24"/>
      <c r="J923" s="17"/>
      <c r="K923" s="18"/>
      <c r="L923" s="19"/>
      <c r="M923" s="31"/>
      <c r="N923" s="21"/>
      <c r="O923" s="30"/>
      <c r="P923" s="30"/>
      <c r="Q923" s="23"/>
      <c r="R923" s="24"/>
      <c r="U923" t="s">
        <v>176</v>
      </c>
      <c r="V923" t="s">
        <v>177</v>
      </c>
      <c r="X923" t="s">
        <v>178</v>
      </c>
      <c r="Y923" t="s">
        <v>160</v>
      </c>
      <c r="AA923" t="s">
        <v>160</v>
      </c>
      <c r="AB923" t="s">
        <v>179</v>
      </c>
      <c r="AC923" t="s">
        <v>180</v>
      </c>
      <c r="AD923" t="s">
        <v>181</v>
      </c>
    </row>
    <row r="924" spans="1:31" ht="22.15" customHeight="1">
      <c r="A924" s="12">
        <v>620</v>
      </c>
      <c r="B924" s="12"/>
      <c r="C924" s="13"/>
      <c r="D924" s="13"/>
      <c r="E924" s="13"/>
      <c r="F924" s="14"/>
      <c r="G924" s="15"/>
      <c r="H924" s="15"/>
      <c r="I924" s="24"/>
      <c r="J924" s="17"/>
      <c r="K924" s="18"/>
      <c r="L924" s="19"/>
      <c r="M924" s="31"/>
      <c r="N924" s="21"/>
      <c r="O924" s="30"/>
      <c r="P924" s="30"/>
      <c r="Q924" s="23"/>
      <c r="R924" s="24"/>
      <c r="V924" t="s">
        <v>184</v>
      </c>
      <c r="W924" t="s">
        <v>185</v>
      </c>
      <c r="X924" t="s">
        <v>186</v>
      </c>
    </row>
    <row r="925" spans="1:31" ht="18" customHeight="1">
      <c r="A925" s="47" t="s">
        <v>302</v>
      </c>
      <c r="B925" s="48"/>
      <c r="C925" s="48"/>
      <c r="D925" s="48"/>
      <c r="E925" s="49"/>
      <c r="F925" s="50" t="s">
        <v>183</v>
      </c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2"/>
      <c r="U925" t="s">
        <v>320</v>
      </c>
      <c r="W925" t="s">
        <v>321</v>
      </c>
      <c r="X925" t="s">
        <v>322</v>
      </c>
      <c r="Y925" t="s">
        <v>323</v>
      </c>
      <c r="AA925" s="16" t="s">
        <v>167</v>
      </c>
      <c r="AB925" s="16" t="s">
        <v>168</v>
      </c>
      <c r="AC925" s="16" t="s">
        <v>131</v>
      </c>
      <c r="AD925" s="16" t="s">
        <v>253</v>
      </c>
    </row>
    <row r="926" spans="1:31" ht="18" customHeight="1">
      <c r="A926" s="12">
        <v>1</v>
      </c>
      <c r="B926" s="47" t="s">
        <v>187</v>
      </c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9"/>
      <c r="AA926" s="27" t="s">
        <v>188</v>
      </c>
      <c r="AB926" s="27" t="s">
        <v>189</v>
      </c>
      <c r="AC926" s="27" t="s">
        <v>190</v>
      </c>
    </row>
    <row r="927" spans="1:31" ht="18" customHeight="1">
      <c r="A927" s="23">
        <v>2</v>
      </c>
      <c r="B927" s="53" t="s">
        <v>191</v>
      </c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5"/>
      <c r="U927" t="s">
        <v>192</v>
      </c>
      <c r="V927" s="16" t="s">
        <v>193</v>
      </c>
      <c r="W927" t="s">
        <v>194</v>
      </c>
      <c r="Y927" t="s">
        <v>195</v>
      </c>
      <c r="AA927" s="16" t="s">
        <v>173</v>
      </c>
      <c r="AB927" s="16" t="s">
        <v>174</v>
      </c>
      <c r="AC927" s="16" t="s">
        <v>139</v>
      </c>
      <c r="AD927" s="16" t="s">
        <v>196</v>
      </c>
    </row>
    <row r="928" spans="1:31" ht="18" customHeight="1">
      <c r="A928" s="23">
        <v>3</v>
      </c>
      <c r="B928" s="47" t="s">
        <v>197</v>
      </c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9"/>
      <c r="V928" s="16" t="s">
        <v>198</v>
      </c>
      <c r="X928" s="16" t="s">
        <v>199</v>
      </c>
      <c r="Y928" t="s">
        <v>200</v>
      </c>
      <c r="AA928" s="16" t="s">
        <v>179</v>
      </c>
      <c r="AB928" s="16" t="s">
        <v>180</v>
      </c>
      <c r="AC928" s="16" t="s">
        <v>147</v>
      </c>
      <c r="AD928" s="16" t="s">
        <v>201</v>
      </c>
    </row>
    <row r="929" spans="1:32" ht="18" customHeight="1">
      <c r="A929" s="37" t="s">
        <v>202</v>
      </c>
      <c r="B929" s="38"/>
      <c r="C929" s="39">
        <f>C599</f>
        <v>0</v>
      </c>
      <c r="D929" s="39"/>
      <c r="E929" s="37" t="s">
        <v>203</v>
      </c>
      <c r="F929" s="40"/>
      <c r="G929" s="41">
        <f>G599</f>
        <v>0</v>
      </c>
      <c r="H929" s="42"/>
      <c r="I929" s="42"/>
      <c r="J929" s="42"/>
      <c r="K929" s="28" t="s">
        <v>204</v>
      </c>
      <c r="L929" s="43" t="s">
        <v>205</v>
      </c>
      <c r="M929" s="43"/>
      <c r="N929" s="43"/>
      <c r="O929" s="43"/>
      <c r="P929" s="43"/>
      <c r="Q929" s="43"/>
      <c r="R929" s="43"/>
      <c r="U929" t="s">
        <v>206</v>
      </c>
      <c r="W929" s="16" t="s">
        <v>207</v>
      </c>
      <c r="X929" s="16" t="s">
        <v>208</v>
      </c>
    </row>
    <row r="930" spans="1:32" ht="18" customHeight="1">
      <c r="A930" s="37" t="s">
        <v>209</v>
      </c>
      <c r="B930" s="38"/>
      <c r="C930" s="39">
        <f>C600</f>
        <v>0</v>
      </c>
      <c r="D930" s="39"/>
      <c r="E930" s="37" t="s">
        <v>210</v>
      </c>
      <c r="F930" s="40"/>
      <c r="G930" s="41">
        <f>G600</f>
        <v>0</v>
      </c>
      <c r="H930" s="42"/>
      <c r="I930" s="42"/>
      <c r="J930" s="42"/>
      <c r="K930" s="28" t="s">
        <v>204</v>
      </c>
      <c r="L930" s="43" t="s">
        <v>205</v>
      </c>
      <c r="M930" s="43"/>
      <c r="N930" s="43"/>
      <c r="O930" s="43"/>
      <c r="P930" s="43"/>
      <c r="Q930" s="43"/>
      <c r="R930" s="43"/>
      <c r="V930" s="16" t="s">
        <v>211</v>
      </c>
      <c r="W930" s="16" t="s">
        <v>212</v>
      </c>
      <c r="Y930" t="s">
        <v>213</v>
      </c>
      <c r="AA930" s="16" t="s">
        <v>214</v>
      </c>
      <c r="AB930" s="16" t="s">
        <v>214</v>
      </c>
      <c r="AC930" s="16" t="s">
        <v>215</v>
      </c>
      <c r="AD930" s="16" t="s">
        <v>216</v>
      </c>
    </row>
    <row r="931" spans="1:32" ht="48" customHeight="1">
      <c r="A931" s="69" t="s">
        <v>0</v>
      </c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1" t="s">
        <v>1</v>
      </c>
      <c r="M931" s="71"/>
      <c r="N931" s="71"/>
      <c r="O931" s="71"/>
      <c r="P931" s="71"/>
      <c r="Q931" s="1" t="s">
        <v>2</v>
      </c>
      <c r="R931" s="2" t="s">
        <v>3</v>
      </c>
      <c r="S931" s="3"/>
      <c r="T931" s="3" t="s">
        <v>4</v>
      </c>
      <c r="U931" s="4" t="s">
        <v>5</v>
      </c>
      <c r="V931" s="4" t="s">
        <v>6</v>
      </c>
      <c r="W931" s="4" t="s">
        <v>7</v>
      </c>
      <c r="X931" s="4" t="s">
        <v>8</v>
      </c>
      <c r="Y931" s="4" t="s">
        <v>9</v>
      </c>
      <c r="Z931" s="4"/>
      <c r="AA931" s="4" t="s">
        <v>10</v>
      </c>
      <c r="AB931" s="4" t="s">
        <v>11</v>
      </c>
      <c r="AC931" s="4" t="s">
        <v>12</v>
      </c>
      <c r="AD931" s="4" t="s">
        <v>13</v>
      </c>
      <c r="AE931" s="4" t="s">
        <v>14</v>
      </c>
      <c r="AF931" s="4" t="s">
        <v>15</v>
      </c>
    </row>
    <row r="932" spans="1:32" s="8" customFormat="1" ht="18" customHeight="1">
      <c r="A932" s="5" t="s">
        <v>16</v>
      </c>
      <c r="B932" s="44">
        <f>B572</f>
        <v>0</v>
      </c>
      <c r="C932" s="45"/>
      <c r="D932" s="45"/>
      <c r="E932" s="6" t="str">
        <f>E572</f>
        <v>Version:1</v>
      </c>
      <c r="F932" s="72" t="s">
        <v>18</v>
      </c>
      <c r="G932" s="74" t="s">
        <v>19</v>
      </c>
      <c r="H932" s="74" t="s">
        <v>20</v>
      </c>
      <c r="I932" s="77" t="s">
        <v>21</v>
      </c>
      <c r="J932" s="62" t="s">
        <v>22</v>
      </c>
      <c r="K932" s="79" t="s">
        <v>23</v>
      </c>
      <c r="L932" s="62" t="s">
        <v>24</v>
      </c>
      <c r="M932" s="56" t="s">
        <v>25</v>
      </c>
      <c r="N932" s="59" t="s">
        <v>26</v>
      </c>
      <c r="O932" s="62" t="s">
        <v>27</v>
      </c>
      <c r="P932" s="65" t="s">
        <v>28</v>
      </c>
      <c r="Q932" s="66" t="s">
        <v>29</v>
      </c>
      <c r="R932" s="68" t="s">
        <v>30</v>
      </c>
      <c r="S932"/>
      <c r="T932" s="7" t="str">
        <f>IF(C965&gt;18,IF(C965=20,Nennweite20,IF(C965=60,U934,IF(C965=50,Nennweite50,IF(C965=25,Nennweite25,IF(C965=32,Nennweite32,IF(C965=40,Nennweite40,"&gt;")))))),IF(C965=8,Nennweite8,IF(C965=6,Nennweite6,IF(C965=10,Nennweite10,IF(C965=18,Nennweite18,IF(C965=16,Nennweite16,IF(C965=12,Nennweite12,"")))))))</f>
        <v/>
      </c>
      <c r="U932" t="s">
        <v>31</v>
      </c>
      <c r="V932" t="s">
        <v>32</v>
      </c>
      <c r="W932" t="s">
        <v>33</v>
      </c>
      <c r="X932" t="s">
        <v>34</v>
      </c>
      <c r="Y932" t="s">
        <v>35</v>
      </c>
      <c r="Z932"/>
      <c r="AA932" t="s">
        <v>36</v>
      </c>
      <c r="AB932" t="s">
        <v>37</v>
      </c>
      <c r="AC932" t="s">
        <v>38</v>
      </c>
      <c r="AD932" t="s">
        <v>39</v>
      </c>
      <c r="AE932" t="s">
        <v>40</v>
      </c>
      <c r="AF932" t="s">
        <v>41</v>
      </c>
    </row>
    <row r="933" spans="1:32" ht="18" customHeight="1">
      <c r="A933" s="5" t="s">
        <v>42</v>
      </c>
      <c r="B933" s="44">
        <f>B573</f>
        <v>0</v>
      </c>
      <c r="C933" s="45"/>
      <c r="D933" s="45"/>
      <c r="E933" s="46"/>
      <c r="F933" s="72"/>
      <c r="G933" s="75"/>
      <c r="H933" s="75"/>
      <c r="I933" s="77"/>
      <c r="J933" s="63"/>
      <c r="K933" s="80"/>
      <c r="L933" s="63"/>
      <c r="M933" s="57"/>
      <c r="N933" s="60"/>
      <c r="O933" s="63"/>
      <c r="P933" s="63"/>
      <c r="Q933" s="66"/>
      <c r="R933" s="66"/>
      <c r="U933" t="s">
        <v>43</v>
      </c>
      <c r="V933" t="s">
        <v>44</v>
      </c>
      <c r="W933" t="s">
        <v>45</v>
      </c>
      <c r="X933" t="s">
        <v>46</v>
      </c>
      <c r="Y933" t="s">
        <v>47</v>
      </c>
      <c r="AA933" t="s">
        <v>48</v>
      </c>
      <c r="AB933" t="s">
        <v>49</v>
      </c>
      <c r="AC933" t="s">
        <v>50</v>
      </c>
      <c r="AD933" t="s">
        <v>51</v>
      </c>
      <c r="AE933" t="s">
        <v>52</v>
      </c>
      <c r="AF933" t="s">
        <v>53</v>
      </c>
    </row>
    <row r="934" spans="1:32" ht="18" customHeight="1" thickBot="1">
      <c r="A934" s="9" t="s">
        <v>54</v>
      </c>
      <c r="B934" s="10" t="s">
        <v>55</v>
      </c>
      <c r="C934" s="10" t="s">
        <v>56</v>
      </c>
      <c r="D934" s="11" t="s">
        <v>57</v>
      </c>
      <c r="E934" s="9" t="s">
        <v>58</v>
      </c>
      <c r="F934" s="73"/>
      <c r="G934" s="76"/>
      <c r="H934" s="76"/>
      <c r="I934" s="78"/>
      <c r="J934" s="64"/>
      <c r="K934" s="81"/>
      <c r="L934" s="64"/>
      <c r="M934" s="58"/>
      <c r="N934" s="61"/>
      <c r="O934" s="64"/>
      <c r="P934" s="64"/>
      <c r="Q934" s="67"/>
      <c r="R934" s="67"/>
      <c r="U934" t="s">
        <v>59</v>
      </c>
      <c r="V934" t="s">
        <v>60</v>
      </c>
      <c r="W934" t="s">
        <v>61</v>
      </c>
      <c r="X934" t="s">
        <v>62</v>
      </c>
      <c r="Y934" t="s">
        <v>63</v>
      </c>
      <c r="AA934" t="s">
        <v>64</v>
      </c>
      <c r="AB934" t="s">
        <v>65</v>
      </c>
      <c r="AC934" t="s">
        <v>66</v>
      </c>
      <c r="AD934" t="s">
        <v>67</v>
      </c>
      <c r="AE934" t="s">
        <v>68</v>
      </c>
      <c r="AF934" t="s">
        <v>69</v>
      </c>
    </row>
    <row r="935" spans="1:32" ht="22.15" customHeight="1">
      <c r="A935" s="12">
        <v>621</v>
      </c>
      <c r="B935" s="13"/>
      <c r="C935" s="13"/>
      <c r="D935" s="13"/>
      <c r="E935" s="13"/>
      <c r="F935" s="14"/>
      <c r="G935" s="15"/>
      <c r="H935" s="15"/>
      <c r="I935" s="24"/>
      <c r="J935" s="17"/>
      <c r="K935" s="18"/>
      <c r="L935" s="19"/>
      <c r="M935" s="31"/>
      <c r="N935" s="21"/>
      <c r="O935" s="30"/>
      <c r="P935" s="30"/>
      <c r="Q935" s="23"/>
      <c r="R935" s="24"/>
      <c r="U935" t="s">
        <v>70</v>
      </c>
      <c r="V935" t="s">
        <v>71</v>
      </c>
      <c r="W935" t="s">
        <v>72</v>
      </c>
      <c r="X935" t="s">
        <v>73</v>
      </c>
      <c r="Y935" t="s">
        <v>74</v>
      </c>
      <c r="AA935" t="s">
        <v>75</v>
      </c>
      <c r="AB935" t="s">
        <v>76</v>
      </c>
      <c r="AC935" t="s">
        <v>77</v>
      </c>
      <c r="AD935" t="s">
        <v>78</v>
      </c>
      <c r="AE935" t="s">
        <v>79</v>
      </c>
    </row>
    <row r="936" spans="1:32" ht="22.15" customHeight="1">
      <c r="A936" s="12">
        <v>622</v>
      </c>
      <c r="B936" s="13"/>
      <c r="C936" s="13"/>
      <c r="D936" s="13"/>
      <c r="E936" s="13"/>
      <c r="F936" s="14"/>
      <c r="G936" s="15"/>
      <c r="H936" s="15"/>
      <c r="I936" s="24"/>
      <c r="J936" s="17"/>
      <c r="K936" s="18"/>
      <c r="L936" s="19"/>
      <c r="M936" s="31"/>
      <c r="N936" s="21"/>
      <c r="O936" s="30"/>
      <c r="P936" s="30"/>
      <c r="Q936" s="23"/>
      <c r="R936" s="24"/>
      <c r="U936" t="s">
        <v>80</v>
      </c>
      <c r="X936" t="s">
        <v>81</v>
      </c>
      <c r="Y936" t="s">
        <v>82</v>
      </c>
      <c r="AA936" t="s">
        <v>83</v>
      </c>
      <c r="AB936" t="s">
        <v>84</v>
      </c>
      <c r="AC936" t="s">
        <v>85</v>
      </c>
      <c r="AD936" t="s">
        <v>86</v>
      </c>
      <c r="AE936" t="s">
        <v>87</v>
      </c>
    </row>
    <row r="937" spans="1:32" ht="22.15" customHeight="1">
      <c r="A937" s="12">
        <v>623</v>
      </c>
      <c r="B937" s="13"/>
      <c r="C937" s="13"/>
      <c r="D937" s="13"/>
      <c r="E937" s="13"/>
      <c r="F937" s="14"/>
      <c r="G937" s="15"/>
      <c r="H937" s="15"/>
      <c r="I937" s="24"/>
      <c r="J937" s="17"/>
      <c r="K937" s="18"/>
      <c r="L937" s="19"/>
      <c r="M937" s="31"/>
      <c r="N937" s="21"/>
      <c r="O937" s="30"/>
      <c r="P937" s="30"/>
      <c r="Q937" s="23"/>
      <c r="R937" s="24"/>
      <c r="U937" t="s">
        <v>88</v>
      </c>
      <c r="V937" t="s">
        <v>89</v>
      </c>
      <c r="W937" t="s">
        <v>90</v>
      </c>
      <c r="X937" t="s">
        <v>91</v>
      </c>
      <c r="Y937" t="s">
        <v>92</v>
      </c>
      <c r="AA937" t="s">
        <v>93</v>
      </c>
      <c r="AB937" t="s">
        <v>94</v>
      </c>
      <c r="AC937" t="s">
        <v>95</v>
      </c>
      <c r="AD937" t="s">
        <v>96</v>
      </c>
      <c r="AE937" t="s">
        <v>97</v>
      </c>
    </row>
    <row r="938" spans="1:32" ht="22.15" customHeight="1">
      <c r="A938" s="12">
        <v>624</v>
      </c>
      <c r="B938" s="12"/>
      <c r="C938" s="13"/>
      <c r="D938" s="13"/>
      <c r="E938" s="13"/>
      <c r="F938" s="14"/>
      <c r="G938" s="15"/>
      <c r="H938" s="15"/>
      <c r="I938" s="24"/>
      <c r="J938" s="17"/>
      <c r="K938" s="18"/>
      <c r="L938" s="19"/>
      <c r="M938" s="31"/>
      <c r="N938" s="21"/>
      <c r="O938" s="30"/>
      <c r="P938" s="30"/>
      <c r="Q938" s="23"/>
      <c r="R938" s="24"/>
      <c r="V938" t="s">
        <v>98</v>
      </c>
      <c r="W938" t="s">
        <v>99</v>
      </c>
    </row>
    <row r="939" spans="1:32" ht="22.15" customHeight="1">
      <c r="A939" s="12">
        <v>625</v>
      </c>
      <c r="B939" s="12"/>
      <c r="C939" s="13"/>
      <c r="D939" s="13"/>
      <c r="E939" s="13"/>
      <c r="F939" s="14"/>
      <c r="G939" s="15"/>
      <c r="H939" s="15"/>
      <c r="I939" s="24"/>
      <c r="J939" s="17"/>
      <c r="K939" s="18"/>
      <c r="L939" s="19"/>
      <c r="M939" s="31"/>
      <c r="N939" s="21"/>
      <c r="O939" s="30"/>
      <c r="P939" s="30"/>
      <c r="Q939" s="23"/>
      <c r="R939" s="24"/>
      <c r="U939" t="s">
        <v>100</v>
      </c>
      <c r="V939" t="s">
        <v>101</v>
      </c>
      <c r="W939" t="s">
        <v>102</v>
      </c>
      <c r="X939" t="s">
        <v>103</v>
      </c>
      <c r="Y939" t="s">
        <v>103</v>
      </c>
      <c r="AA939" t="s">
        <v>104</v>
      </c>
      <c r="AB939" t="s">
        <v>105</v>
      </c>
      <c r="AC939" t="s">
        <v>106</v>
      </c>
      <c r="AD939" t="s">
        <v>40</v>
      </c>
      <c r="AE939" t="s">
        <v>107</v>
      </c>
    </row>
    <row r="940" spans="1:32" ht="22.15" customHeight="1">
      <c r="A940" s="12">
        <v>626</v>
      </c>
      <c r="B940" s="12"/>
      <c r="C940" s="13"/>
      <c r="D940" s="13"/>
      <c r="E940" s="13"/>
      <c r="F940" s="14"/>
      <c r="G940" s="15"/>
      <c r="H940" s="15"/>
      <c r="I940" s="24"/>
      <c r="J940" s="17"/>
      <c r="K940" s="18"/>
      <c r="L940" s="19"/>
      <c r="M940" s="31"/>
      <c r="N940" s="21"/>
      <c r="O940" s="30"/>
      <c r="P940" s="30"/>
      <c r="Q940" s="23"/>
      <c r="R940" s="24"/>
      <c r="X940" t="s">
        <v>108</v>
      </c>
      <c r="Y940" t="s">
        <v>108</v>
      </c>
      <c r="AA940" t="s">
        <v>109</v>
      </c>
      <c r="AB940" t="s">
        <v>110</v>
      </c>
      <c r="AC940" t="s">
        <v>111</v>
      </c>
      <c r="AD940" t="s">
        <v>52</v>
      </c>
    </row>
    <row r="941" spans="1:32" ht="22.15" customHeight="1">
      <c r="A941" s="12">
        <v>627</v>
      </c>
      <c r="B941" s="12"/>
      <c r="C941" s="13"/>
      <c r="D941" s="13"/>
      <c r="E941" s="13"/>
      <c r="F941" s="14"/>
      <c r="G941" s="15"/>
      <c r="H941" s="15"/>
      <c r="I941" s="24"/>
      <c r="J941" s="17"/>
      <c r="K941" s="18"/>
      <c r="L941" s="19"/>
      <c r="M941" s="31"/>
      <c r="N941" s="21"/>
      <c r="O941" s="30"/>
      <c r="P941" s="30"/>
      <c r="Q941" s="23"/>
      <c r="R941" s="24"/>
      <c r="U941" t="s">
        <v>112</v>
      </c>
      <c r="V941" t="s">
        <v>113</v>
      </c>
      <c r="W941" t="s">
        <v>114</v>
      </c>
      <c r="X941" t="s">
        <v>115</v>
      </c>
      <c r="Y941" t="s">
        <v>116</v>
      </c>
      <c r="AA941" t="s">
        <v>117</v>
      </c>
      <c r="AB941" t="s">
        <v>118</v>
      </c>
      <c r="AC941" t="s">
        <v>119</v>
      </c>
      <c r="AD941" t="s">
        <v>68</v>
      </c>
      <c r="AE941" t="s">
        <v>120</v>
      </c>
    </row>
    <row r="942" spans="1:32" ht="22.15" customHeight="1">
      <c r="A942" s="12">
        <v>628</v>
      </c>
      <c r="B942" s="12"/>
      <c r="C942" s="13"/>
      <c r="D942" s="13"/>
      <c r="E942" s="13"/>
      <c r="F942" s="14"/>
      <c r="G942" s="15"/>
      <c r="H942" s="15"/>
      <c r="I942" s="24"/>
      <c r="J942" s="17"/>
      <c r="K942" s="18"/>
      <c r="L942" s="19"/>
      <c r="M942" s="31"/>
      <c r="N942" s="21"/>
      <c r="O942" s="30"/>
      <c r="P942" s="30"/>
      <c r="Q942" s="23"/>
      <c r="R942" s="24"/>
      <c r="V942" t="s">
        <v>121</v>
      </c>
      <c r="W942" t="s">
        <v>122</v>
      </c>
      <c r="AE942" t="s">
        <v>123</v>
      </c>
    </row>
    <row r="943" spans="1:32" ht="22.15" customHeight="1">
      <c r="A943" s="12">
        <v>629</v>
      </c>
      <c r="B943" s="12"/>
      <c r="C943" s="13"/>
      <c r="D943" s="13"/>
      <c r="E943" s="13"/>
      <c r="F943" s="14"/>
      <c r="G943" s="15"/>
      <c r="H943" s="15"/>
      <c r="I943" s="24"/>
      <c r="J943" s="17"/>
      <c r="K943" s="18"/>
      <c r="L943" s="19"/>
      <c r="M943" s="31"/>
      <c r="N943" s="21"/>
      <c r="O943" s="30"/>
      <c r="P943" s="30"/>
      <c r="Q943" s="23"/>
      <c r="R943" s="24"/>
      <c r="U943" t="s">
        <v>124</v>
      </c>
      <c r="V943" t="s">
        <v>125</v>
      </c>
      <c r="W943" t="s">
        <v>126</v>
      </c>
      <c r="X943" t="s">
        <v>127</v>
      </c>
      <c r="Y943" t="s">
        <v>128</v>
      </c>
      <c r="AA943" t="s">
        <v>128</v>
      </c>
      <c r="AB943" t="s">
        <v>129</v>
      </c>
      <c r="AC943" t="s">
        <v>130</v>
      </c>
      <c r="AD943" t="s">
        <v>131</v>
      </c>
      <c r="AE943" t="s">
        <v>132</v>
      </c>
    </row>
    <row r="944" spans="1:32" ht="22.15" customHeight="1">
      <c r="A944" s="12">
        <v>630</v>
      </c>
      <c r="B944" s="12"/>
      <c r="C944" s="13"/>
      <c r="D944" s="13"/>
      <c r="E944" s="13"/>
      <c r="F944" s="14"/>
      <c r="G944" s="15"/>
      <c r="H944" s="15"/>
      <c r="I944" s="24"/>
      <c r="J944" s="17"/>
      <c r="K944" s="18"/>
      <c r="L944" s="19"/>
      <c r="M944" s="31"/>
      <c r="N944" s="21"/>
      <c r="O944" s="30"/>
      <c r="P944" s="30"/>
      <c r="Q944" s="23"/>
      <c r="R944" s="24"/>
      <c r="U944" t="s">
        <v>134</v>
      </c>
      <c r="X944" t="s">
        <v>135</v>
      </c>
      <c r="Y944" t="s">
        <v>136</v>
      </c>
      <c r="AA944" t="s">
        <v>136</v>
      </c>
      <c r="AB944" t="s">
        <v>137</v>
      </c>
      <c r="AC944" t="s">
        <v>138</v>
      </c>
      <c r="AD944" t="s">
        <v>139</v>
      </c>
    </row>
    <row r="945" spans="1:30" ht="22.15" customHeight="1">
      <c r="A945" s="12">
        <v>631</v>
      </c>
      <c r="B945" s="12"/>
      <c r="C945" s="13"/>
      <c r="D945" s="13"/>
      <c r="E945" s="13"/>
      <c r="F945" s="14"/>
      <c r="G945" s="15"/>
      <c r="H945" s="15"/>
      <c r="I945" s="24"/>
      <c r="J945" s="17"/>
      <c r="K945" s="18"/>
      <c r="L945" s="19"/>
      <c r="M945" s="31"/>
      <c r="N945" s="21"/>
      <c r="O945" s="30"/>
      <c r="P945" s="30"/>
      <c r="Q945" s="23"/>
      <c r="R945" s="24"/>
      <c r="U945" t="s">
        <v>140</v>
      </c>
      <c r="V945" t="s">
        <v>141</v>
      </c>
      <c r="W945" t="s">
        <v>142</v>
      </c>
      <c r="X945" t="s">
        <v>143</v>
      </c>
      <c r="Y945" t="s">
        <v>144</v>
      </c>
      <c r="AA945" t="s">
        <v>144</v>
      </c>
      <c r="AB945" t="s">
        <v>145</v>
      </c>
      <c r="AC945" t="s">
        <v>146</v>
      </c>
      <c r="AD945" t="s">
        <v>147</v>
      </c>
    </row>
    <row r="946" spans="1:30" ht="22.15" customHeight="1">
      <c r="A946" s="12">
        <v>632</v>
      </c>
      <c r="B946" s="12"/>
      <c r="C946" s="13"/>
      <c r="D946" s="13"/>
      <c r="E946" s="13"/>
      <c r="F946" s="14"/>
      <c r="G946" s="15"/>
      <c r="H946" s="15"/>
      <c r="I946" s="24"/>
      <c r="J946" s="17"/>
      <c r="K946" s="18"/>
      <c r="L946" s="19"/>
      <c r="M946" s="31"/>
      <c r="N946" s="21"/>
      <c r="O946" s="30"/>
      <c r="P946" s="30"/>
      <c r="Q946" s="23"/>
      <c r="R946" s="24"/>
      <c r="V946" t="s">
        <v>148</v>
      </c>
    </row>
    <row r="947" spans="1:30" ht="22.15" customHeight="1">
      <c r="A947" s="12">
        <v>633</v>
      </c>
      <c r="B947" s="12"/>
      <c r="C947" s="13"/>
      <c r="D947" s="13"/>
      <c r="E947" s="13"/>
      <c r="F947" s="14"/>
      <c r="G947" s="15"/>
      <c r="H947" s="15"/>
      <c r="I947" s="24"/>
      <c r="J947" s="17"/>
      <c r="K947" s="18"/>
      <c r="L947" s="19"/>
      <c r="M947" s="31"/>
      <c r="N947" s="21"/>
      <c r="O947" s="30"/>
      <c r="P947" s="30"/>
      <c r="Q947" s="23"/>
      <c r="R947" s="24"/>
      <c r="U947" t="s">
        <v>149</v>
      </c>
      <c r="W947" t="s">
        <v>150</v>
      </c>
      <c r="X947" t="s">
        <v>151</v>
      </c>
      <c r="Y947" t="s">
        <v>127</v>
      </c>
      <c r="AA947" t="s">
        <v>129</v>
      </c>
      <c r="AB947" t="s">
        <v>130</v>
      </c>
      <c r="AC947" t="s">
        <v>78</v>
      </c>
      <c r="AD947" t="s">
        <v>152</v>
      </c>
    </row>
    <row r="948" spans="1:30" ht="22.15" customHeight="1">
      <c r="A948" s="12">
        <v>634</v>
      </c>
      <c r="B948" s="12"/>
      <c r="C948" s="13"/>
      <c r="D948" s="13"/>
      <c r="E948" s="13"/>
      <c r="F948" s="14"/>
      <c r="G948" s="15"/>
      <c r="H948" s="15"/>
      <c r="I948" s="24"/>
      <c r="J948" s="17"/>
      <c r="K948" s="18"/>
      <c r="L948" s="19"/>
      <c r="M948" s="31"/>
      <c r="N948" s="21"/>
      <c r="O948" s="30"/>
      <c r="P948" s="30"/>
      <c r="Q948" s="23"/>
      <c r="R948" s="24"/>
      <c r="U948" t="s">
        <v>153</v>
      </c>
      <c r="V948" t="s">
        <v>154</v>
      </c>
      <c r="W948" t="s">
        <v>155</v>
      </c>
      <c r="X948" t="s">
        <v>156</v>
      </c>
      <c r="Y948" t="s">
        <v>135</v>
      </c>
      <c r="AA948" t="s">
        <v>137</v>
      </c>
      <c r="AB948" t="s">
        <v>138</v>
      </c>
      <c r="AC948" t="s">
        <v>86</v>
      </c>
      <c r="AD948" t="s">
        <v>157</v>
      </c>
    </row>
    <row r="949" spans="1:30" ht="22.15" customHeight="1">
      <c r="A949" s="12">
        <v>635</v>
      </c>
      <c r="B949" s="12"/>
      <c r="C949" s="13"/>
      <c r="D949" s="13"/>
      <c r="E949" s="13"/>
      <c r="F949" s="14"/>
      <c r="G949" s="15"/>
      <c r="H949" s="15"/>
      <c r="I949" s="24"/>
      <c r="J949" s="17"/>
      <c r="K949" s="18"/>
      <c r="L949" s="19"/>
      <c r="M949" s="31"/>
      <c r="N949" s="21"/>
      <c r="O949" s="30"/>
      <c r="P949" s="30"/>
      <c r="Q949" s="23"/>
      <c r="R949" s="24"/>
      <c r="U949" t="s">
        <v>158</v>
      </c>
      <c r="V949" t="s">
        <v>159</v>
      </c>
      <c r="X949" t="s">
        <v>160</v>
      </c>
      <c r="Y949" t="s">
        <v>143</v>
      </c>
      <c r="AA949" t="s">
        <v>145</v>
      </c>
      <c r="AB949" t="s">
        <v>146</v>
      </c>
      <c r="AC949" t="s">
        <v>96</v>
      </c>
      <c r="AD949" t="s">
        <v>161</v>
      </c>
    </row>
    <row r="950" spans="1:30" ht="22.15" customHeight="1">
      <c r="A950" s="12">
        <v>636</v>
      </c>
      <c r="B950" s="12"/>
      <c r="C950" s="13"/>
      <c r="D950" s="13"/>
      <c r="E950" s="13"/>
      <c r="F950" s="14"/>
      <c r="G950" s="15"/>
      <c r="H950" s="15"/>
      <c r="I950" s="24"/>
      <c r="J950" s="17"/>
      <c r="K950" s="18"/>
      <c r="L950" s="19"/>
      <c r="M950" s="31"/>
      <c r="N950" s="21"/>
      <c r="O950" s="30"/>
      <c r="P950" s="30"/>
      <c r="Q950" s="23"/>
      <c r="R950" s="24"/>
      <c r="V950" t="s">
        <v>162</v>
      </c>
      <c r="W950" t="s">
        <v>163</v>
      </c>
    </row>
    <row r="951" spans="1:30" ht="22.15" customHeight="1">
      <c r="A951" s="12">
        <v>637</v>
      </c>
      <c r="B951" s="12"/>
      <c r="C951" s="13"/>
      <c r="D951" s="13"/>
      <c r="E951" s="13"/>
      <c r="F951" s="14"/>
      <c r="G951" s="15"/>
      <c r="H951" s="15"/>
      <c r="I951" s="24"/>
      <c r="J951" s="17"/>
      <c r="K951" s="18"/>
      <c r="L951" s="19"/>
      <c r="M951" s="31"/>
      <c r="N951" s="21"/>
      <c r="O951" s="30"/>
      <c r="P951" s="30"/>
      <c r="Q951" s="23"/>
      <c r="R951" s="24"/>
      <c r="U951" t="s">
        <v>164</v>
      </c>
      <c r="W951" t="s">
        <v>165</v>
      </c>
      <c r="X951" t="s">
        <v>166</v>
      </c>
      <c r="Y951" t="s">
        <v>151</v>
      </c>
      <c r="AA951" t="s">
        <v>151</v>
      </c>
      <c r="AB951" t="s">
        <v>167</v>
      </c>
      <c r="AC951" t="s">
        <v>168</v>
      </c>
      <c r="AD951" t="s">
        <v>169</v>
      </c>
    </row>
    <row r="952" spans="1:30" ht="22.15" customHeight="1">
      <c r="A952" s="12">
        <v>638</v>
      </c>
      <c r="B952" s="12"/>
      <c r="C952" s="13"/>
      <c r="D952" s="13"/>
      <c r="E952" s="13"/>
      <c r="F952" s="14"/>
      <c r="G952" s="15"/>
      <c r="H952" s="15"/>
      <c r="I952" s="24"/>
      <c r="J952" s="17"/>
      <c r="K952" s="18"/>
      <c r="L952" s="19"/>
      <c r="M952" s="31"/>
      <c r="N952" s="21"/>
      <c r="O952" s="30"/>
      <c r="P952" s="30"/>
      <c r="Q952" s="23"/>
      <c r="R952" s="24"/>
      <c r="U952" t="s">
        <v>170</v>
      </c>
      <c r="V952" t="s">
        <v>171</v>
      </c>
      <c r="W952" t="s">
        <v>172</v>
      </c>
      <c r="Y952" t="s">
        <v>156</v>
      </c>
      <c r="AA952" t="s">
        <v>156</v>
      </c>
      <c r="AB952" t="s">
        <v>173</v>
      </c>
      <c r="AC952" t="s">
        <v>174</v>
      </c>
      <c r="AD952" t="s">
        <v>175</v>
      </c>
    </row>
    <row r="953" spans="1:30" ht="22.15" customHeight="1">
      <c r="A953" s="12">
        <v>639</v>
      </c>
      <c r="B953" s="12"/>
      <c r="C953" s="13"/>
      <c r="D953" s="13"/>
      <c r="E953" s="13"/>
      <c r="F953" s="14"/>
      <c r="G953" s="15"/>
      <c r="H953" s="15"/>
      <c r="I953" s="24"/>
      <c r="J953" s="17"/>
      <c r="K953" s="18"/>
      <c r="L953" s="19"/>
      <c r="M953" s="31"/>
      <c r="N953" s="21"/>
      <c r="O953" s="30"/>
      <c r="P953" s="30"/>
      <c r="Q953" s="23"/>
      <c r="R953" s="24"/>
      <c r="U953" t="s">
        <v>176</v>
      </c>
      <c r="V953" t="s">
        <v>177</v>
      </c>
      <c r="X953" t="s">
        <v>178</v>
      </c>
      <c r="Y953" t="s">
        <v>160</v>
      </c>
      <c r="AA953" t="s">
        <v>160</v>
      </c>
      <c r="AB953" t="s">
        <v>179</v>
      </c>
      <c r="AC953" t="s">
        <v>180</v>
      </c>
      <c r="AD953" t="s">
        <v>181</v>
      </c>
    </row>
    <row r="954" spans="1:30" ht="22.15" customHeight="1">
      <c r="A954" s="12">
        <v>640</v>
      </c>
      <c r="B954" s="12"/>
      <c r="C954" s="13"/>
      <c r="D954" s="13"/>
      <c r="E954" s="13"/>
      <c r="F954" s="14"/>
      <c r="G954" s="15"/>
      <c r="H954" s="15"/>
      <c r="I954" s="24"/>
      <c r="J954" s="17"/>
      <c r="K954" s="18"/>
      <c r="L954" s="19"/>
      <c r="M954" s="31"/>
      <c r="N954" s="21"/>
      <c r="O954" s="30"/>
      <c r="P954" s="30"/>
      <c r="Q954" s="23"/>
      <c r="R954" s="24"/>
      <c r="V954" t="s">
        <v>184</v>
      </c>
      <c r="W954" t="s">
        <v>185</v>
      </c>
      <c r="X954" t="s">
        <v>186</v>
      </c>
    </row>
    <row r="955" spans="1:30" ht="18" customHeight="1">
      <c r="A955" s="47" t="s">
        <v>302</v>
      </c>
      <c r="B955" s="48"/>
      <c r="C955" s="48"/>
      <c r="D955" s="48"/>
      <c r="E955" s="49"/>
      <c r="F955" s="50" t="s">
        <v>183</v>
      </c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2"/>
      <c r="U955" t="s">
        <v>320</v>
      </c>
      <c r="W955" t="s">
        <v>321</v>
      </c>
      <c r="X955" t="s">
        <v>322</v>
      </c>
      <c r="Y955" t="s">
        <v>323</v>
      </c>
      <c r="AA955" s="16" t="s">
        <v>167</v>
      </c>
      <c r="AB955" s="16" t="s">
        <v>168</v>
      </c>
      <c r="AC955" s="16" t="s">
        <v>131</v>
      </c>
      <c r="AD955" s="16" t="s">
        <v>253</v>
      </c>
    </row>
    <row r="956" spans="1:30" ht="18" customHeight="1">
      <c r="A956" s="12">
        <v>1</v>
      </c>
      <c r="B956" s="47" t="s">
        <v>187</v>
      </c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9"/>
      <c r="AA956" s="27" t="s">
        <v>188</v>
      </c>
      <c r="AB956" s="27" t="s">
        <v>189</v>
      </c>
      <c r="AC956" s="27" t="s">
        <v>190</v>
      </c>
    </row>
    <row r="957" spans="1:30" ht="18" customHeight="1">
      <c r="A957" s="23">
        <v>2</v>
      </c>
      <c r="B957" s="53" t="s">
        <v>191</v>
      </c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5"/>
      <c r="U957" t="s">
        <v>192</v>
      </c>
      <c r="V957" s="16" t="s">
        <v>193</v>
      </c>
      <c r="W957" t="s">
        <v>194</v>
      </c>
      <c r="Y957" t="s">
        <v>195</v>
      </c>
      <c r="AA957" s="16" t="s">
        <v>173</v>
      </c>
      <c r="AB957" s="16" t="s">
        <v>174</v>
      </c>
      <c r="AC957" s="16" t="s">
        <v>139</v>
      </c>
      <c r="AD957" s="16" t="s">
        <v>196</v>
      </c>
    </row>
    <row r="958" spans="1:30" ht="18" customHeight="1">
      <c r="A958" s="23">
        <v>3</v>
      </c>
      <c r="B958" s="47" t="s">
        <v>197</v>
      </c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9"/>
      <c r="V958" s="16" t="s">
        <v>198</v>
      </c>
      <c r="X958" s="16" t="s">
        <v>199</v>
      </c>
      <c r="Y958" t="s">
        <v>200</v>
      </c>
      <c r="AA958" s="16" t="s">
        <v>179</v>
      </c>
      <c r="AB958" s="16" t="s">
        <v>180</v>
      </c>
      <c r="AC958" s="16" t="s">
        <v>147</v>
      </c>
      <c r="AD958" s="16" t="s">
        <v>201</v>
      </c>
    </row>
    <row r="959" spans="1:30" ht="18" customHeight="1">
      <c r="A959" s="37" t="s">
        <v>202</v>
      </c>
      <c r="B959" s="38"/>
      <c r="C959" s="39">
        <f>C629</f>
        <v>0</v>
      </c>
      <c r="D959" s="39"/>
      <c r="E959" s="37" t="s">
        <v>203</v>
      </c>
      <c r="F959" s="40"/>
      <c r="G959" s="41">
        <f>G629</f>
        <v>0</v>
      </c>
      <c r="H959" s="42"/>
      <c r="I959" s="42"/>
      <c r="J959" s="42"/>
      <c r="K959" s="28" t="s">
        <v>204</v>
      </c>
      <c r="L959" s="43" t="s">
        <v>205</v>
      </c>
      <c r="M959" s="43"/>
      <c r="N959" s="43"/>
      <c r="O959" s="43"/>
      <c r="P959" s="43"/>
      <c r="Q959" s="43"/>
      <c r="R959" s="43"/>
      <c r="U959" t="s">
        <v>206</v>
      </c>
      <c r="W959" s="16" t="s">
        <v>207</v>
      </c>
      <c r="X959" s="16" t="s">
        <v>208</v>
      </c>
    </row>
    <row r="960" spans="1:30" ht="18" customHeight="1">
      <c r="A960" s="37" t="s">
        <v>209</v>
      </c>
      <c r="B960" s="38"/>
      <c r="C960" s="39">
        <f>C630</f>
        <v>0</v>
      </c>
      <c r="D960" s="39"/>
      <c r="E960" s="37" t="s">
        <v>210</v>
      </c>
      <c r="F960" s="40"/>
      <c r="G960" s="41">
        <f>G630</f>
        <v>0</v>
      </c>
      <c r="H960" s="42"/>
      <c r="I960" s="42"/>
      <c r="J960" s="42"/>
      <c r="K960" s="28" t="s">
        <v>204</v>
      </c>
      <c r="L960" s="43" t="s">
        <v>205</v>
      </c>
      <c r="M960" s="43"/>
      <c r="N960" s="43"/>
      <c r="O960" s="43"/>
      <c r="P960" s="43"/>
      <c r="Q960" s="43"/>
      <c r="R960" s="43"/>
      <c r="V960" s="16" t="s">
        <v>211</v>
      </c>
      <c r="W960" s="16" t="s">
        <v>212</v>
      </c>
      <c r="Y960" t="s">
        <v>213</v>
      </c>
      <c r="AA960" s="16" t="s">
        <v>214</v>
      </c>
      <c r="AB960" s="16" t="s">
        <v>214</v>
      </c>
      <c r="AC960" s="16" t="s">
        <v>215</v>
      </c>
      <c r="AD960" s="16" t="s">
        <v>216</v>
      </c>
    </row>
    <row r="961" spans="1:32" ht="48" customHeight="1">
      <c r="A961" s="69" t="s">
        <v>0</v>
      </c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1" t="s">
        <v>1</v>
      </c>
      <c r="M961" s="71"/>
      <c r="N961" s="71"/>
      <c r="O961" s="71"/>
      <c r="P961" s="71"/>
      <c r="Q961" s="1" t="s">
        <v>2</v>
      </c>
      <c r="R961" s="2" t="s">
        <v>3</v>
      </c>
      <c r="S961" s="3"/>
      <c r="T961" s="3" t="s">
        <v>4</v>
      </c>
      <c r="U961" s="4" t="s">
        <v>5</v>
      </c>
      <c r="V961" s="4" t="s">
        <v>6</v>
      </c>
      <c r="W961" s="4" t="s">
        <v>7</v>
      </c>
      <c r="X961" s="4" t="s">
        <v>8</v>
      </c>
      <c r="Y961" s="4" t="s">
        <v>9</v>
      </c>
      <c r="Z961" s="4"/>
      <c r="AA961" s="4" t="s">
        <v>10</v>
      </c>
      <c r="AB961" s="4" t="s">
        <v>11</v>
      </c>
      <c r="AC961" s="4" t="s">
        <v>12</v>
      </c>
      <c r="AD961" s="4" t="s">
        <v>13</v>
      </c>
      <c r="AE961" s="4" t="s">
        <v>14</v>
      </c>
      <c r="AF961" s="4" t="s">
        <v>15</v>
      </c>
    </row>
    <row r="962" spans="1:32" s="8" customFormat="1" ht="18" customHeight="1">
      <c r="A962" s="5" t="s">
        <v>16</v>
      </c>
      <c r="B962" s="44">
        <f>B602</f>
        <v>0</v>
      </c>
      <c r="C962" s="45"/>
      <c r="D962" s="45"/>
      <c r="E962" s="6" t="str">
        <f>E602</f>
        <v>Version:1</v>
      </c>
      <c r="F962" s="72" t="s">
        <v>18</v>
      </c>
      <c r="G962" s="74" t="s">
        <v>19</v>
      </c>
      <c r="H962" s="74" t="s">
        <v>20</v>
      </c>
      <c r="I962" s="77" t="s">
        <v>21</v>
      </c>
      <c r="J962" s="62" t="s">
        <v>22</v>
      </c>
      <c r="K962" s="79" t="s">
        <v>23</v>
      </c>
      <c r="L962" s="62" t="s">
        <v>24</v>
      </c>
      <c r="M962" s="56" t="s">
        <v>25</v>
      </c>
      <c r="N962" s="59" t="s">
        <v>26</v>
      </c>
      <c r="O962" s="62" t="s">
        <v>27</v>
      </c>
      <c r="P962" s="65" t="s">
        <v>28</v>
      </c>
      <c r="Q962" s="66" t="s">
        <v>29</v>
      </c>
      <c r="R962" s="68" t="s">
        <v>30</v>
      </c>
      <c r="S962"/>
      <c r="T962" s="7" t="str">
        <f>IF(C995&gt;18,IF(C995=20,Nennweite20,IF(C995=60,U964,IF(C995=50,Nennweite50,IF(C995=25,Nennweite25,IF(C995=32,Nennweite32,IF(C995=40,Nennweite40,"&gt;")))))),IF(C995=8,Nennweite8,IF(C995=6,Nennweite6,IF(C995=10,Nennweite10,IF(C995=18,Nennweite18,IF(C995=16,Nennweite16,IF(C995=12,Nennweite12,"")))))))</f>
        <v/>
      </c>
      <c r="U962" t="s">
        <v>31</v>
      </c>
      <c r="V962" t="s">
        <v>32</v>
      </c>
      <c r="W962" t="s">
        <v>33</v>
      </c>
      <c r="X962" t="s">
        <v>34</v>
      </c>
      <c r="Y962" t="s">
        <v>35</v>
      </c>
      <c r="Z962"/>
      <c r="AA962" t="s">
        <v>36</v>
      </c>
      <c r="AB962" t="s">
        <v>37</v>
      </c>
      <c r="AC962" t="s">
        <v>38</v>
      </c>
      <c r="AD962" t="s">
        <v>39</v>
      </c>
      <c r="AE962" t="s">
        <v>40</v>
      </c>
      <c r="AF962" t="s">
        <v>41</v>
      </c>
    </row>
    <row r="963" spans="1:32" ht="18" customHeight="1">
      <c r="A963" s="5" t="s">
        <v>42</v>
      </c>
      <c r="B963" s="44">
        <f>B603</f>
        <v>0</v>
      </c>
      <c r="C963" s="45"/>
      <c r="D963" s="45"/>
      <c r="E963" s="46"/>
      <c r="F963" s="72"/>
      <c r="G963" s="75"/>
      <c r="H963" s="75"/>
      <c r="I963" s="77"/>
      <c r="J963" s="63"/>
      <c r="K963" s="80"/>
      <c r="L963" s="63"/>
      <c r="M963" s="57"/>
      <c r="N963" s="60"/>
      <c r="O963" s="63"/>
      <c r="P963" s="63"/>
      <c r="Q963" s="66"/>
      <c r="R963" s="66"/>
      <c r="U963" t="s">
        <v>43</v>
      </c>
      <c r="V963" t="s">
        <v>44</v>
      </c>
      <c r="W963" t="s">
        <v>45</v>
      </c>
      <c r="X963" t="s">
        <v>46</v>
      </c>
      <c r="Y963" t="s">
        <v>47</v>
      </c>
      <c r="AA963" t="s">
        <v>48</v>
      </c>
      <c r="AB963" t="s">
        <v>49</v>
      </c>
      <c r="AC963" t="s">
        <v>50</v>
      </c>
      <c r="AD963" t="s">
        <v>51</v>
      </c>
      <c r="AE963" t="s">
        <v>52</v>
      </c>
      <c r="AF963" t="s">
        <v>53</v>
      </c>
    </row>
    <row r="964" spans="1:32" ht="18" customHeight="1" thickBot="1">
      <c r="A964" s="9" t="s">
        <v>54</v>
      </c>
      <c r="B964" s="10" t="s">
        <v>55</v>
      </c>
      <c r="C964" s="10" t="s">
        <v>56</v>
      </c>
      <c r="D964" s="11" t="s">
        <v>57</v>
      </c>
      <c r="E964" s="9" t="s">
        <v>58</v>
      </c>
      <c r="F964" s="73"/>
      <c r="G964" s="76"/>
      <c r="H964" s="76"/>
      <c r="I964" s="78"/>
      <c r="J964" s="64"/>
      <c r="K964" s="81"/>
      <c r="L964" s="64"/>
      <c r="M964" s="58"/>
      <c r="N964" s="61"/>
      <c r="O964" s="64"/>
      <c r="P964" s="64"/>
      <c r="Q964" s="67"/>
      <c r="R964" s="67"/>
      <c r="U964" t="s">
        <v>59</v>
      </c>
      <c r="V964" t="s">
        <v>60</v>
      </c>
      <c r="W964" t="s">
        <v>61</v>
      </c>
      <c r="X964" t="s">
        <v>62</v>
      </c>
      <c r="Y964" t="s">
        <v>63</v>
      </c>
      <c r="AA964" t="s">
        <v>64</v>
      </c>
      <c r="AB964" t="s">
        <v>65</v>
      </c>
      <c r="AC964" t="s">
        <v>66</v>
      </c>
      <c r="AD964" t="s">
        <v>67</v>
      </c>
      <c r="AE964" t="s">
        <v>68</v>
      </c>
      <c r="AF964" t="s">
        <v>69</v>
      </c>
    </row>
    <row r="965" spans="1:32" ht="22.15" customHeight="1">
      <c r="A965" s="12">
        <v>641</v>
      </c>
      <c r="B965" s="13"/>
      <c r="C965" s="13"/>
      <c r="D965" s="13"/>
      <c r="E965" s="13"/>
      <c r="F965" s="14"/>
      <c r="G965" s="15"/>
      <c r="H965" s="15"/>
      <c r="I965" s="24"/>
      <c r="J965" s="17"/>
      <c r="K965" s="18"/>
      <c r="L965" s="19"/>
      <c r="M965" s="31"/>
      <c r="N965" s="21"/>
      <c r="O965" s="30"/>
      <c r="P965" s="30"/>
      <c r="Q965" s="23"/>
      <c r="R965" s="24"/>
      <c r="U965" t="s">
        <v>70</v>
      </c>
      <c r="V965" t="s">
        <v>71</v>
      </c>
      <c r="W965" t="s">
        <v>72</v>
      </c>
      <c r="X965" t="s">
        <v>73</v>
      </c>
      <c r="Y965" t="s">
        <v>74</v>
      </c>
      <c r="AA965" t="s">
        <v>75</v>
      </c>
      <c r="AB965" t="s">
        <v>76</v>
      </c>
      <c r="AC965" t="s">
        <v>77</v>
      </c>
      <c r="AD965" t="s">
        <v>78</v>
      </c>
      <c r="AE965" t="s">
        <v>79</v>
      </c>
    </row>
    <row r="966" spans="1:32" ht="22.15" customHeight="1">
      <c r="A966" s="12">
        <v>642</v>
      </c>
      <c r="B966" s="13"/>
      <c r="C966" s="13"/>
      <c r="D966" s="13"/>
      <c r="E966" s="13"/>
      <c r="F966" s="14"/>
      <c r="G966" s="15"/>
      <c r="H966" s="15"/>
      <c r="I966" s="24"/>
      <c r="J966" s="17"/>
      <c r="K966" s="18"/>
      <c r="L966" s="19"/>
      <c r="M966" s="31"/>
      <c r="N966" s="21"/>
      <c r="O966" s="30"/>
      <c r="P966" s="30"/>
      <c r="Q966" s="23"/>
      <c r="R966" s="24"/>
      <c r="U966" t="s">
        <v>80</v>
      </c>
      <c r="X966" t="s">
        <v>81</v>
      </c>
      <c r="Y966" t="s">
        <v>82</v>
      </c>
      <c r="AA966" t="s">
        <v>83</v>
      </c>
      <c r="AB966" t="s">
        <v>84</v>
      </c>
      <c r="AC966" t="s">
        <v>85</v>
      </c>
      <c r="AD966" t="s">
        <v>86</v>
      </c>
      <c r="AE966" t="s">
        <v>87</v>
      </c>
    </row>
    <row r="967" spans="1:32" ht="22.15" customHeight="1">
      <c r="A967" s="12">
        <v>643</v>
      </c>
      <c r="B967" s="13"/>
      <c r="C967" s="13"/>
      <c r="D967" s="13"/>
      <c r="E967" s="13"/>
      <c r="F967" s="14"/>
      <c r="G967" s="15"/>
      <c r="H967" s="15"/>
      <c r="I967" s="24"/>
      <c r="J967" s="17"/>
      <c r="K967" s="18"/>
      <c r="L967" s="19"/>
      <c r="M967" s="31"/>
      <c r="N967" s="21"/>
      <c r="O967" s="30"/>
      <c r="P967" s="30"/>
      <c r="Q967" s="23"/>
      <c r="R967" s="24"/>
      <c r="U967" t="s">
        <v>88</v>
      </c>
      <c r="V967" t="s">
        <v>89</v>
      </c>
      <c r="W967" t="s">
        <v>90</v>
      </c>
      <c r="X967" t="s">
        <v>91</v>
      </c>
      <c r="Y967" t="s">
        <v>92</v>
      </c>
      <c r="AA967" t="s">
        <v>93</v>
      </c>
      <c r="AB967" t="s">
        <v>94</v>
      </c>
      <c r="AC967" t="s">
        <v>95</v>
      </c>
      <c r="AD967" t="s">
        <v>96</v>
      </c>
      <c r="AE967" t="s">
        <v>97</v>
      </c>
    </row>
    <row r="968" spans="1:32" ht="22.15" customHeight="1">
      <c r="A968" s="12">
        <v>644</v>
      </c>
      <c r="B968" s="12"/>
      <c r="C968" s="13"/>
      <c r="D968" s="13"/>
      <c r="E968" s="13"/>
      <c r="F968" s="14"/>
      <c r="G968" s="15"/>
      <c r="H968" s="15"/>
      <c r="I968" s="24"/>
      <c r="J968" s="17"/>
      <c r="K968" s="18"/>
      <c r="L968" s="19"/>
      <c r="M968" s="31"/>
      <c r="N968" s="21"/>
      <c r="O968" s="30"/>
      <c r="P968" s="30"/>
      <c r="Q968" s="23"/>
      <c r="R968" s="24"/>
      <c r="V968" t="s">
        <v>98</v>
      </c>
      <c r="W968" t="s">
        <v>99</v>
      </c>
    </row>
    <row r="969" spans="1:32" ht="22.15" customHeight="1">
      <c r="A969" s="12">
        <v>645</v>
      </c>
      <c r="B969" s="12"/>
      <c r="C969" s="13"/>
      <c r="D969" s="13"/>
      <c r="E969" s="13"/>
      <c r="F969" s="14"/>
      <c r="G969" s="15"/>
      <c r="H969" s="15"/>
      <c r="I969" s="24"/>
      <c r="J969" s="17"/>
      <c r="K969" s="18"/>
      <c r="L969" s="19"/>
      <c r="M969" s="31"/>
      <c r="N969" s="21"/>
      <c r="O969" s="30"/>
      <c r="P969" s="30"/>
      <c r="Q969" s="23"/>
      <c r="R969" s="24"/>
      <c r="U969" t="s">
        <v>100</v>
      </c>
      <c r="V969" t="s">
        <v>101</v>
      </c>
      <c r="W969" t="s">
        <v>102</v>
      </c>
      <c r="X969" t="s">
        <v>103</v>
      </c>
      <c r="Y969" t="s">
        <v>103</v>
      </c>
      <c r="AA969" t="s">
        <v>104</v>
      </c>
      <c r="AB969" t="s">
        <v>105</v>
      </c>
      <c r="AC969" t="s">
        <v>106</v>
      </c>
      <c r="AD969" t="s">
        <v>40</v>
      </c>
      <c r="AE969" t="s">
        <v>107</v>
      </c>
    </row>
    <row r="970" spans="1:32" ht="22.15" customHeight="1">
      <c r="A970" s="12">
        <v>646</v>
      </c>
      <c r="B970" s="12"/>
      <c r="C970" s="13"/>
      <c r="D970" s="13"/>
      <c r="E970" s="13"/>
      <c r="F970" s="14"/>
      <c r="G970" s="15"/>
      <c r="H970" s="15"/>
      <c r="I970" s="24"/>
      <c r="J970" s="17"/>
      <c r="K970" s="18"/>
      <c r="L970" s="19"/>
      <c r="M970" s="31"/>
      <c r="N970" s="21"/>
      <c r="O970" s="30"/>
      <c r="P970" s="30"/>
      <c r="Q970" s="23"/>
      <c r="R970" s="24"/>
      <c r="X970" t="s">
        <v>108</v>
      </c>
      <c r="Y970" t="s">
        <v>108</v>
      </c>
      <c r="AA970" t="s">
        <v>109</v>
      </c>
      <c r="AB970" t="s">
        <v>110</v>
      </c>
      <c r="AC970" t="s">
        <v>111</v>
      </c>
      <c r="AD970" t="s">
        <v>52</v>
      </c>
    </row>
    <row r="971" spans="1:32" ht="22.15" customHeight="1">
      <c r="A971" s="12">
        <v>647</v>
      </c>
      <c r="B971" s="12"/>
      <c r="C971" s="13"/>
      <c r="D971" s="13"/>
      <c r="E971" s="13"/>
      <c r="F971" s="14"/>
      <c r="G971" s="15"/>
      <c r="H971" s="15"/>
      <c r="I971" s="24"/>
      <c r="J971" s="17"/>
      <c r="K971" s="18"/>
      <c r="L971" s="19"/>
      <c r="M971" s="31"/>
      <c r="N971" s="21"/>
      <c r="O971" s="30"/>
      <c r="P971" s="30"/>
      <c r="Q971" s="23"/>
      <c r="R971" s="24"/>
      <c r="U971" t="s">
        <v>112</v>
      </c>
      <c r="V971" t="s">
        <v>113</v>
      </c>
      <c r="W971" t="s">
        <v>114</v>
      </c>
      <c r="X971" t="s">
        <v>115</v>
      </c>
      <c r="Y971" t="s">
        <v>116</v>
      </c>
      <c r="AA971" t="s">
        <v>117</v>
      </c>
      <c r="AB971" t="s">
        <v>118</v>
      </c>
      <c r="AC971" t="s">
        <v>119</v>
      </c>
      <c r="AD971" t="s">
        <v>68</v>
      </c>
      <c r="AE971" t="s">
        <v>120</v>
      </c>
    </row>
    <row r="972" spans="1:32" ht="22.15" customHeight="1">
      <c r="A972" s="12">
        <v>648</v>
      </c>
      <c r="B972" s="12"/>
      <c r="C972" s="13"/>
      <c r="D972" s="13"/>
      <c r="E972" s="13"/>
      <c r="F972" s="14"/>
      <c r="G972" s="15"/>
      <c r="H972" s="15"/>
      <c r="I972" s="24"/>
      <c r="J972" s="17"/>
      <c r="K972" s="18"/>
      <c r="L972" s="19"/>
      <c r="M972" s="31"/>
      <c r="N972" s="21"/>
      <c r="O972" s="30"/>
      <c r="P972" s="30"/>
      <c r="Q972" s="23"/>
      <c r="R972" s="24"/>
      <c r="V972" t="s">
        <v>121</v>
      </c>
      <c r="W972" t="s">
        <v>122</v>
      </c>
      <c r="AE972" t="s">
        <v>123</v>
      </c>
    </row>
    <row r="973" spans="1:32" ht="22.15" customHeight="1">
      <c r="A973" s="12">
        <v>649</v>
      </c>
      <c r="B973" s="12"/>
      <c r="C973" s="13"/>
      <c r="D973" s="13"/>
      <c r="E973" s="13"/>
      <c r="F973" s="14"/>
      <c r="G973" s="15"/>
      <c r="H973" s="15"/>
      <c r="I973" s="24"/>
      <c r="J973" s="17"/>
      <c r="K973" s="18"/>
      <c r="L973" s="19"/>
      <c r="M973" s="31"/>
      <c r="N973" s="21"/>
      <c r="O973" s="30"/>
      <c r="P973" s="30"/>
      <c r="Q973" s="23"/>
      <c r="R973" s="24"/>
      <c r="U973" t="s">
        <v>124</v>
      </c>
      <c r="V973" t="s">
        <v>125</v>
      </c>
      <c r="W973" t="s">
        <v>126</v>
      </c>
      <c r="X973" t="s">
        <v>127</v>
      </c>
      <c r="Y973" t="s">
        <v>128</v>
      </c>
      <c r="AA973" t="s">
        <v>128</v>
      </c>
      <c r="AB973" t="s">
        <v>129</v>
      </c>
      <c r="AC973" t="s">
        <v>130</v>
      </c>
      <c r="AD973" t="s">
        <v>131</v>
      </c>
      <c r="AE973" t="s">
        <v>132</v>
      </c>
    </row>
    <row r="974" spans="1:32" ht="22.15" customHeight="1">
      <c r="A974" s="12">
        <v>650</v>
      </c>
      <c r="B974" s="12"/>
      <c r="C974" s="13"/>
      <c r="D974" s="13"/>
      <c r="E974" s="13"/>
      <c r="F974" s="14"/>
      <c r="G974" s="15"/>
      <c r="H974" s="15"/>
      <c r="I974" s="24"/>
      <c r="J974" s="17"/>
      <c r="K974" s="18"/>
      <c r="L974" s="19"/>
      <c r="M974" s="31"/>
      <c r="N974" s="21"/>
      <c r="O974" s="30"/>
      <c r="P974" s="30"/>
      <c r="Q974" s="23"/>
      <c r="R974" s="24"/>
      <c r="U974" t="s">
        <v>134</v>
      </c>
      <c r="X974" t="s">
        <v>135</v>
      </c>
      <c r="Y974" t="s">
        <v>136</v>
      </c>
      <c r="AA974" t="s">
        <v>136</v>
      </c>
      <c r="AB974" t="s">
        <v>137</v>
      </c>
      <c r="AC974" t="s">
        <v>138</v>
      </c>
      <c r="AD974" t="s">
        <v>139</v>
      </c>
    </row>
    <row r="975" spans="1:32" ht="22.15" customHeight="1">
      <c r="A975" s="12">
        <v>651</v>
      </c>
      <c r="B975" s="12"/>
      <c r="C975" s="13"/>
      <c r="D975" s="13"/>
      <c r="E975" s="13"/>
      <c r="F975" s="14"/>
      <c r="G975" s="15"/>
      <c r="H975" s="15"/>
      <c r="I975" s="24"/>
      <c r="J975" s="17"/>
      <c r="K975" s="18"/>
      <c r="L975" s="19"/>
      <c r="M975" s="31"/>
      <c r="N975" s="21"/>
      <c r="O975" s="30"/>
      <c r="P975" s="30"/>
      <c r="Q975" s="23"/>
      <c r="R975" s="24"/>
      <c r="U975" t="s">
        <v>140</v>
      </c>
      <c r="V975" t="s">
        <v>141</v>
      </c>
      <c r="W975" t="s">
        <v>142</v>
      </c>
      <c r="X975" t="s">
        <v>143</v>
      </c>
      <c r="Y975" t="s">
        <v>144</v>
      </c>
      <c r="AA975" t="s">
        <v>144</v>
      </c>
      <c r="AB975" t="s">
        <v>145</v>
      </c>
      <c r="AC975" t="s">
        <v>146</v>
      </c>
      <c r="AD975" t="s">
        <v>147</v>
      </c>
    </row>
    <row r="976" spans="1:32" ht="22.15" customHeight="1">
      <c r="A976" s="12">
        <v>652</v>
      </c>
      <c r="B976" s="12"/>
      <c r="C976" s="13"/>
      <c r="D976" s="13"/>
      <c r="E976" s="13"/>
      <c r="F976" s="14"/>
      <c r="G976" s="15"/>
      <c r="H976" s="15"/>
      <c r="I976" s="24"/>
      <c r="J976" s="17"/>
      <c r="K976" s="18"/>
      <c r="L976" s="19"/>
      <c r="M976" s="31"/>
      <c r="N976" s="21"/>
      <c r="O976" s="30"/>
      <c r="P976" s="30"/>
      <c r="Q976" s="23"/>
      <c r="R976" s="24"/>
      <c r="V976" t="s">
        <v>148</v>
      </c>
    </row>
    <row r="977" spans="1:32" ht="22.15" customHeight="1">
      <c r="A977" s="12">
        <v>653</v>
      </c>
      <c r="B977" s="12"/>
      <c r="C977" s="13"/>
      <c r="D977" s="13"/>
      <c r="E977" s="13"/>
      <c r="F977" s="14"/>
      <c r="G977" s="15"/>
      <c r="H977" s="15"/>
      <c r="I977" s="24"/>
      <c r="J977" s="17"/>
      <c r="K977" s="18"/>
      <c r="L977" s="19"/>
      <c r="M977" s="31"/>
      <c r="N977" s="21"/>
      <c r="O977" s="30"/>
      <c r="P977" s="30"/>
      <c r="Q977" s="23"/>
      <c r="R977" s="24"/>
      <c r="U977" t="s">
        <v>149</v>
      </c>
      <c r="W977" t="s">
        <v>150</v>
      </c>
      <c r="X977" t="s">
        <v>151</v>
      </c>
      <c r="Y977" t="s">
        <v>127</v>
      </c>
      <c r="AA977" t="s">
        <v>129</v>
      </c>
      <c r="AB977" t="s">
        <v>130</v>
      </c>
      <c r="AC977" t="s">
        <v>78</v>
      </c>
      <c r="AD977" t="s">
        <v>152</v>
      </c>
    </row>
    <row r="978" spans="1:32" ht="22.15" customHeight="1">
      <c r="A978" s="12">
        <v>654</v>
      </c>
      <c r="B978" s="12"/>
      <c r="C978" s="13"/>
      <c r="D978" s="13"/>
      <c r="E978" s="13"/>
      <c r="F978" s="14"/>
      <c r="G978" s="15"/>
      <c r="H978" s="15"/>
      <c r="I978" s="24"/>
      <c r="J978" s="17"/>
      <c r="K978" s="18"/>
      <c r="L978" s="19"/>
      <c r="M978" s="31"/>
      <c r="N978" s="21"/>
      <c r="O978" s="30"/>
      <c r="P978" s="30"/>
      <c r="Q978" s="23"/>
      <c r="R978" s="24"/>
      <c r="U978" t="s">
        <v>153</v>
      </c>
      <c r="V978" t="s">
        <v>154</v>
      </c>
      <c r="W978" t="s">
        <v>155</v>
      </c>
      <c r="X978" t="s">
        <v>156</v>
      </c>
      <c r="Y978" t="s">
        <v>135</v>
      </c>
      <c r="AA978" t="s">
        <v>137</v>
      </c>
      <c r="AB978" t="s">
        <v>138</v>
      </c>
      <c r="AC978" t="s">
        <v>86</v>
      </c>
      <c r="AD978" t="s">
        <v>157</v>
      </c>
    </row>
    <row r="979" spans="1:32" ht="22.15" customHeight="1">
      <c r="A979" s="12">
        <v>655</v>
      </c>
      <c r="B979" s="12"/>
      <c r="C979" s="13"/>
      <c r="D979" s="13"/>
      <c r="E979" s="13"/>
      <c r="F979" s="14"/>
      <c r="G979" s="15"/>
      <c r="H979" s="15"/>
      <c r="I979" s="24"/>
      <c r="J979" s="17"/>
      <c r="K979" s="18"/>
      <c r="L979" s="19"/>
      <c r="M979" s="31"/>
      <c r="N979" s="21"/>
      <c r="O979" s="30"/>
      <c r="P979" s="30"/>
      <c r="Q979" s="23"/>
      <c r="R979" s="24"/>
      <c r="U979" t="s">
        <v>158</v>
      </c>
      <c r="V979" t="s">
        <v>159</v>
      </c>
      <c r="X979" t="s">
        <v>160</v>
      </c>
      <c r="Y979" t="s">
        <v>143</v>
      </c>
      <c r="AA979" t="s">
        <v>145</v>
      </c>
      <c r="AB979" t="s">
        <v>146</v>
      </c>
      <c r="AC979" t="s">
        <v>96</v>
      </c>
      <c r="AD979" t="s">
        <v>161</v>
      </c>
    </row>
    <row r="980" spans="1:32" ht="22.15" customHeight="1">
      <c r="A980" s="12">
        <v>656</v>
      </c>
      <c r="B980" s="12"/>
      <c r="C980" s="13"/>
      <c r="D980" s="13"/>
      <c r="E980" s="13"/>
      <c r="F980" s="14"/>
      <c r="G980" s="15"/>
      <c r="H980" s="15"/>
      <c r="I980" s="24"/>
      <c r="J980" s="17"/>
      <c r="K980" s="18"/>
      <c r="L980" s="19"/>
      <c r="M980" s="31"/>
      <c r="N980" s="21"/>
      <c r="O980" s="30"/>
      <c r="P980" s="30"/>
      <c r="Q980" s="23"/>
      <c r="R980" s="24"/>
      <c r="V980" t="s">
        <v>162</v>
      </c>
      <c r="W980" t="s">
        <v>163</v>
      </c>
    </row>
    <row r="981" spans="1:32" ht="22.15" customHeight="1">
      <c r="A981" s="12">
        <v>657</v>
      </c>
      <c r="B981" s="12"/>
      <c r="C981" s="13"/>
      <c r="D981" s="13"/>
      <c r="E981" s="13"/>
      <c r="F981" s="14"/>
      <c r="G981" s="15"/>
      <c r="H981" s="15"/>
      <c r="I981" s="24"/>
      <c r="J981" s="17"/>
      <c r="K981" s="18"/>
      <c r="L981" s="19"/>
      <c r="M981" s="31"/>
      <c r="N981" s="21"/>
      <c r="O981" s="30"/>
      <c r="P981" s="30"/>
      <c r="Q981" s="23"/>
      <c r="R981" s="24"/>
      <c r="U981" t="s">
        <v>164</v>
      </c>
      <c r="W981" t="s">
        <v>165</v>
      </c>
      <c r="X981" t="s">
        <v>166</v>
      </c>
      <c r="Y981" t="s">
        <v>151</v>
      </c>
      <c r="AA981" t="s">
        <v>151</v>
      </c>
      <c r="AB981" t="s">
        <v>167</v>
      </c>
      <c r="AC981" t="s">
        <v>168</v>
      </c>
      <c r="AD981" t="s">
        <v>169</v>
      </c>
    </row>
    <row r="982" spans="1:32" ht="22.15" customHeight="1">
      <c r="A982" s="12">
        <v>658</v>
      </c>
      <c r="B982" s="12"/>
      <c r="C982" s="13"/>
      <c r="D982" s="13"/>
      <c r="E982" s="13"/>
      <c r="F982" s="14"/>
      <c r="G982" s="15"/>
      <c r="H982" s="15"/>
      <c r="I982" s="24"/>
      <c r="J982" s="17"/>
      <c r="K982" s="18"/>
      <c r="L982" s="19"/>
      <c r="M982" s="31"/>
      <c r="N982" s="21"/>
      <c r="O982" s="30"/>
      <c r="P982" s="30"/>
      <c r="Q982" s="23"/>
      <c r="R982" s="24"/>
      <c r="U982" t="s">
        <v>170</v>
      </c>
      <c r="V982" t="s">
        <v>171</v>
      </c>
      <c r="W982" t="s">
        <v>172</v>
      </c>
      <c r="Y982" t="s">
        <v>156</v>
      </c>
      <c r="AA982" t="s">
        <v>156</v>
      </c>
      <c r="AB982" t="s">
        <v>173</v>
      </c>
      <c r="AC982" t="s">
        <v>174</v>
      </c>
      <c r="AD982" t="s">
        <v>175</v>
      </c>
    </row>
    <row r="983" spans="1:32" ht="22.15" customHeight="1">
      <c r="A983" s="12">
        <v>659</v>
      </c>
      <c r="B983" s="12"/>
      <c r="C983" s="13"/>
      <c r="D983" s="13"/>
      <c r="E983" s="13"/>
      <c r="F983" s="14"/>
      <c r="G983" s="15"/>
      <c r="H983" s="15"/>
      <c r="I983" s="24"/>
      <c r="J983" s="17"/>
      <c r="K983" s="18"/>
      <c r="L983" s="19"/>
      <c r="M983" s="31"/>
      <c r="N983" s="21"/>
      <c r="O983" s="30"/>
      <c r="P983" s="30"/>
      <c r="Q983" s="23"/>
      <c r="R983" s="24"/>
      <c r="U983" t="s">
        <v>176</v>
      </c>
      <c r="V983" t="s">
        <v>177</v>
      </c>
      <c r="X983" t="s">
        <v>178</v>
      </c>
      <c r="Y983" t="s">
        <v>160</v>
      </c>
      <c r="AA983" t="s">
        <v>160</v>
      </c>
      <c r="AB983" t="s">
        <v>179</v>
      </c>
      <c r="AC983" t="s">
        <v>180</v>
      </c>
      <c r="AD983" t="s">
        <v>181</v>
      </c>
    </row>
    <row r="984" spans="1:32" ht="22.15" customHeight="1">
      <c r="A984" s="12">
        <v>660</v>
      </c>
      <c r="B984" s="12"/>
      <c r="C984" s="13"/>
      <c r="D984" s="13"/>
      <c r="E984" s="13"/>
      <c r="F984" s="14"/>
      <c r="G984" s="15"/>
      <c r="H984" s="15"/>
      <c r="I984" s="24"/>
      <c r="J984" s="17"/>
      <c r="K984" s="18"/>
      <c r="L984" s="19"/>
      <c r="M984" s="31"/>
      <c r="N984" s="21"/>
      <c r="O984" s="30"/>
      <c r="P984" s="30"/>
      <c r="Q984" s="23"/>
      <c r="R984" s="24"/>
      <c r="V984" t="s">
        <v>184</v>
      </c>
      <c r="W984" t="s">
        <v>185</v>
      </c>
      <c r="X984" t="s">
        <v>186</v>
      </c>
    </row>
    <row r="985" spans="1:32" ht="18" customHeight="1">
      <c r="A985" s="47" t="s">
        <v>302</v>
      </c>
      <c r="B985" s="48"/>
      <c r="C985" s="48"/>
      <c r="D985" s="48"/>
      <c r="E985" s="49"/>
      <c r="F985" s="50" t="s">
        <v>183</v>
      </c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2"/>
      <c r="U985" t="s">
        <v>320</v>
      </c>
      <c r="W985" t="s">
        <v>321</v>
      </c>
      <c r="X985" t="s">
        <v>322</v>
      </c>
      <c r="Y985" t="s">
        <v>323</v>
      </c>
      <c r="AA985" s="16" t="s">
        <v>167</v>
      </c>
      <c r="AB985" s="16" t="s">
        <v>168</v>
      </c>
      <c r="AC985" s="16" t="s">
        <v>131</v>
      </c>
      <c r="AD985" s="16" t="s">
        <v>253</v>
      </c>
    </row>
    <row r="986" spans="1:32" ht="18" customHeight="1">
      <c r="A986" s="12">
        <v>1</v>
      </c>
      <c r="B986" s="47" t="s">
        <v>187</v>
      </c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9"/>
      <c r="AA986" s="27" t="s">
        <v>188</v>
      </c>
      <c r="AB986" s="27" t="s">
        <v>189</v>
      </c>
      <c r="AC986" s="27" t="s">
        <v>190</v>
      </c>
    </row>
    <row r="987" spans="1:32" ht="18" customHeight="1">
      <c r="A987" s="23">
        <v>2</v>
      </c>
      <c r="B987" s="53" t="s">
        <v>191</v>
      </c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5"/>
      <c r="U987" t="s">
        <v>192</v>
      </c>
      <c r="V987" s="16" t="s">
        <v>193</v>
      </c>
      <c r="W987" t="s">
        <v>194</v>
      </c>
      <c r="Y987" t="s">
        <v>195</v>
      </c>
      <c r="AA987" s="16" t="s">
        <v>173</v>
      </c>
      <c r="AB987" s="16" t="s">
        <v>174</v>
      </c>
      <c r="AC987" s="16" t="s">
        <v>139</v>
      </c>
      <c r="AD987" s="16" t="s">
        <v>196</v>
      </c>
    </row>
    <row r="988" spans="1:32" ht="18" customHeight="1">
      <c r="A988" s="23">
        <v>3</v>
      </c>
      <c r="B988" s="47" t="s">
        <v>197</v>
      </c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9"/>
      <c r="V988" s="16" t="s">
        <v>198</v>
      </c>
      <c r="X988" s="16" t="s">
        <v>199</v>
      </c>
      <c r="Y988" t="s">
        <v>200</v>
      </c>
      <c r="AA988" s="16" t="s">
        <v>179</v>
      </c>
      <c r="AB988" s="16" t="s">
        <v>180</v>
      </c>
      <c r="AC988" s="16" t="s">
        <v>147</v>
      </c>
      <c r="AD988" s="16" t="s">
        <v>201</v>
      </c>
    </row>
    <row r="989" spans="1:32" ht="18" customHeight="1">
      <c r="A989" s="37" t="s">
        <v>202</v>
      </c>
      <c r="B989" s="38"/>
      <c r="C989" s="39">
        <f>C659</f>
        <v>0</v>
      </c>
      <c r="D989" s="39"/>
      <c r="E989" s="37" t="s">
        <v>203</v>
      </c>
      <c r="F989" s="40"/>
      <c r="G989" s="41">
        <f>G659</f>
        <v>0</v>
      </c>
      <c r="H989" s="42"/>
      <c r="I989" s="42"/>
      <c r="J989" s="42"/>
      <c r="K989" s="28" t="s">
        <v>204</v>
      </c>
      <c r="L989" s="43" t="s">
        <v>205</v>
      </c>
      <c r="M989" s="43"/>
      <c r="N989" s="43"/>
      <c r="O989" s="43"/>
      <c r="P989" s="43"/>
      <c r="Q989" s="43"/>
      <c r="R989" s="43"/>
      <c r="U989" t="s">
        <v>206</v>
      </c>
      <c r="W989" s="16" t="s">
        <v>207</v>
      </c>
      <c r="X989" s="16" t="s">
        <v>208</v>
      </c>
    </row>
    <row r="990" spans="1:32" ht="18" customHeight="1">
      <c r="A990" s="37" t="s">
        <v>209</v>
      </c>
      <c r="B990" s="38"/>
      <c r="C990" s="39">
        <f>C660</f>
        <v>0</v>
      </c>
      <c r="D990" s="39"/>
      <c r="E990" s="37" t="s">
        <v>210</v>
      </c>
      <c r="F990" s="40"/>
      <c r="G990" s="41">
        <f>G660</f>
        <v>0</v>
      </c>
      <c r="H990" s="42"/>
      <c r="I990" s="42"/>
      <c r="J990" s="42"/>
      <c r="K990" s="28" t="s">
        <v>204</v>
      </c>
      <c r="L990" s="43" t="s">
        <v>205</v>
      </c>
      <c r="M990" s="43"/>
      <c r="N990" s="43"/>
      <c r="O990" s="43"/>
      <c r="P990" s="43"/>
      <c r="Q990" s="43"/>
      <c r="R990" s="43"/>
      <c r="V990" s="16" t="s">
        <v>211</v>
      </c>
      <c r="W990" s="16" t="s">
        <v>212</v>
      </c>
      <c r="Y990" t="s">
        <v>213</v>
      </c>
      <c r="AA990" s="16" t="s">
        <v>214</v>
      </c>
      <c r="AB990" s="16" t="s">
        <v>214</v>
      </c>
      <c r="AC990" s="16" t="s">
        <v>215</v>
      </c>
      <c r="AD990" s="16" t="s">
        <v>216</v>
      </c>
    </row>
    <row r="991" spans="1:32" ht="48" customHeight="1">
      <c r="A991" s="69" t="s">
        <v>0</v>
      </c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1" t="s">
        <v>1</v>
      </c>
      <c r="M991" s="71"/>
      <c r="N991" s="71"/>
      <c r="O991" s="71"/>
      <c r="P991" s="71"/>
      <c r="Q991" s="1" t="s">
        <v>2</v>
      </c>
      <c r="R991" s="2" t="s">
        <v>3</v>
      </c>
      <c r="S991" s="3"/>
      <c r="T991" s="3" t="s">
        <v>4</v>
      </c>
      <c r="U991" s="4" t="s">
        <v>5</v>
      </c>
      <c r="V991" s="4" t="s">
        <v>6</v>
      </c>
      <c r="W991" s="4" t="s">
        <v>7</v>
      </c>
      <c r="X991" s="4" t="s">
        <v>8</v>
      </c>
      <c r="Y991" s="4" t="s">
        <v>9</v>
      </c>
      <c r="Z991" s="4"/>
      <c r="AA991" s="4" t="s">
        <v>10</v>
      </c>
      <c r="AB991" s="4" t="s">
        <v>11</v>
      </c>
      <c r="AC991" s="4" t="s">
        <v>12</v>
      </c>
      <c r="AD991" s="4" t="s">
        <v>13</v>
      </c>
      <c r="AE991" s="4" t="s">
        <v>14</v>
      </c>
      <c r="AF991" s="4" t="s">
        <v>15</v>
      </c>
    </row>
    <row r="992" spans="1:32" s="8" customFormat="1" ht="18" customHeight="1">
      <c r="A992" s="5" t="s">
        <v>16</v>
      </c>
      <c r="B992" s="44">
        <f>B632</f>
        <v>0</v>
      </c>
      <c r="C992" s="45"/>
      <c r="D992" s="45"/>
      <c r="E992" s="6" t="str">
        <f>E632</f>
        <v>Version:1</v>
      </c>
      <c r="F992" s="72" t="s">
        <v>18</v>
      </c>
      <c r="G992" s="74" t="s">
        <v>19</v>
      </c>
      <c r="H992" s="74" t="s">
        <v>20</v>
      </c>
      <c r="I992" s="77" t="s">
        <v>21</v>
      </c>
      <c r="J992" s="62" t="s">
        <v>22</v>
      </c>
      <c r="K992" s="79" t="s">
        <v>23</v>
      </c>
      <c r="L992" s="62" t="s">
        <v>24</v>
      </c>
      <c r="M992" s="56" t="s">
        <v>25</v>
      </c>
      <c r="N992" s="59" t="s">
        <v>26</v>
      </c>
      <c r="O992" s="62" t="s">
        <v>27</v>
      </c>
      <c r="P992" s="65" t="s">
        <v>28</v>
      </c>
      <c r="Q992" s="66" t="s">
        <v>29</v>
      </c>
      <c r="R992" s="68" t="s">
        <v>30</v>
      </c>
      <c r="S992"/>
      <c r="T992" s="7" t="str">
        <f>IF(C1025&gt;18,IF(C1025=20,Nennweite20,IF(C1025=60,U994,IF(C1025=50,Nennweite50,IF(C1025=25,Nennweite25,IF(C1025=32,Nennweite32,IF(C1025=40,Nennweite40,"&gt;")))))),IF(C1025=8,Nennweite8,IF(C1025=6,Nennweite6,IF(C1025=10,Nennweite10,IF(C1025=18,Nennweite18,IF(C1025=16,Nennweite16,IF(C1025=12,Nennweite12,"")))))))</f>
        <v/>
      </c>
      <c r="U992" t="s">
        <v>31</v>
      </c>
      <c r="V992" t="s">
        <v>32</v>
      </c>
      <c r="W992" t="s">
        <v>33</v>
      </c>
      <c r="X992" t="s">
        <v>34</v>
      </c>
      <c r="Y992" t="s">
        <v>35</v>
      </c>
      <c r="Z992"/>
      <c r="AA992" t="s">
        <v>36</v>
      </c>
      <c r="AB992" t="s">
        <v>37</v>
      </c>
      <c r="AC992" t="s">
        <v>38</v>
      </c>
      <c r="AD992" t="s">
        <v>39</v>
      </c>
      <c r="AE992" t="s">
        <v>40</v>
      </c>
      <c r="AF992" t="s">
        <v>41</v>
      </c>
    </row>
    <row r="993" spans="1:32" ht="18" customHeight="1">
      <c r="A993" s="5" t="s">
        <v>42</v>
      </c>
      <c r="B993" s="44">
        <f>B633</f>
        <v>0</v>
      </c>
      <c r="C993" s="45"/>
      <c r="D993" s="45"/>
      <c r="E993" s="46"/>
      <c r="F993" s="72"/>
      <c r="G993" s="75"/>
      <c r="H993" s="75"/>
      <c r="I993" s="77"/>
      <c r="J993" s="63"/>
      <c r="K993" s="80"/>
      <c r="L993" s="63"/>
      <c r="M993" s="57"/>
      <c r="N993" s="60"/>
      <c r="O993" s="63"/>
      <c r="P993" s="63"/>
      <c r="Q993" s="66"/>
      <c r="R993" s="66"/>
      <c r="U993" t="s">
        <v>43</v>
      </c>
      <c r="V993" t="s">
        <v>44</v>
      </c>
      <c r="W993" t="s">
        <v>45</v>
      </c>
      <c r="X993" t="s">
        <v>46</v>
      </c>
      <c r="Y993" t="s">
        <v>47</v>
      </c>
      <c r="AA993" t="s">
        <v>48</v>
      </c>
      <c r="AB993" t="s">
        <v>49</v>
      </c>
      <c r="AC993" t="s">
        <v>50</v>
      </c>
      <c r="AD993" t="s">
        <v>51</v>
      </c>
      <c r="AE993" t="s">
        <v>52</v>
      </c>
      <c r="AF993" t="s">
        <v>53</v>
      </c>
    </row>
    <row r="994" spans="1:32" ht="18" customHeight="1" thickBot="1">
      <c r="A994" s="9" t="s">
        <v>54</v>
      </c>
      <c r="B994" s="10" t="s">
        <v>55</v>
      </c>
      <c r="C994" s="10" t="s">
        <v>56</v>
      </c>
      <c r="D994" s="11" t="s">
        <v>57</v>
      </c>
      <c r="E994" s="9" t="s">
        <v>58</v>
      </c>
      <c r="F994" s="73"/>
      <c r="G994" s="76"/>
      <c r="H994" s="76"/>
      <c r="I994" s="78"/>
      <c r="J994" s="64"/>
      <c r="K994" s="81"/>
      <c r="L994" s="64"/>
      <c r="M994" s="58"/>
      <c r="N994" s="61"/>
      <c r="O994" s="64"/>
      <c r="P994" s="64"/>
      <c r="Q994" s="67"/>
      <c r="R994" s="67"/>
      <c r="U994" t="s">
        <v>59</v>
      </c>
      <c r="V994" t="s">
        <v>60</v>
      </c>
      <c r="W994" t="s">
        <v>61</v>
      </c>
      <c r="X994" t="s">
        <v>62</v>
      </c>
      <c r="Y994" t="s">
        <v>63</v>
      </c>
      <c r="AA994" t="s">
        <v>64</v>
      </c>
      <c r="AB994" t="s">
        <v>65</v>
      </c>
      <c r="AC994" t="s">
        <v>66</v>
      </c>
      <c r="AD994" t="s">
        <v>67</v>
      </c>
      <c r="AE994" t="s">
        <v>68</v>
      </c>
      <c r="AF994" t="s">
        <v>69</v>
      </c>
    </row>
    <row r="995" spans="1:32" ht="22.15" customHeight="1">
      <c r="A995" s="12">
        <v>661</v>
      </c>
      <c r="B995" s="13"/>
      <c r="C995" s="13"/>
      <c r="D995" s="13"/>
      <c r="E995" s="13"/>
      <c r="F995" s="14"/>
      <c r="G995" s="15"/>
      <c r="H995" s="15"/>
      <c r="I995" s="24"/>
      <c r="J995" s="17"/>
      <c r="K995" s="18"/>
      <c r="L995" s="19"/>
      <c r="M995" s="31"/>
      <c r="N995" s="21"/>
      <c r="O995" s="30"/>
      <c r="P995" s="30"/>
      <c r="Q995" s="23"/>
      <c r="R995" s="24"/>
      <c r="U995" t="s">
        <v>70</v>
      </c>
      <c r="V995" t="s">
        <v>71</v>
      </c>
      <c r="W995" t="s">
        <v>72</v>
      </c>
      <c r="X995" t="s">
        <v>73</v>
      </c>
      <c r="Y995" t="s">
        <v>74</v>
      </c>
      <c r="AA995" t="s">
        <v>75</v>
      </c>
      <c r="AB995" t="s">
        <v>76</v>
      </c>
      <c r="AC995" t="s">
        <v>77</v>
      </c>
      <c r="AD995" t="s">
        <v>78</v>
      </c>
      <c r="AE995" t="s">
        <v>79</v>
      </c>
    </row>
    <row r="996" spans="1:32" ht="22.15" customHeight="1">
      <c r="A996" s="12">
        <v>662</v>
      </c>
      <c r="B996" s="13"/>
      <c r="C996" s="13"/>
      <c r="D996" s="13"/>
      <c r="E996" s="13"/>
      <c r="F996" s="14"/>
      <c r="G996" s="15"/>
      <c r="H996" s="15"/>
      <c r="I996" s="24"/>
      <c r="J996" s="17"/>
      <c r="K996" s="18"/>
      <c r="L996" s="19"/>
      <c r="M996" s="31"/>
      <c r="N996" s="21"/>
      <c r="O996" s="30"/>
      <c r="P996" s="30"/>
      <c r="Q996" s="23"/>
      <c r="R996" s="24"/>
      <c r="U996" t="s">
        <v>80</v>
      </c>
      <c r="X996" t="s">
        <v>81</v>
      </c>
      <c r="Y996" t="s">
        <v>82</v>
      </c>
      <c r="AA996" t="s">
        <v>83</v>
      </c>
      <c r="AB996" t="s">
        <v>84</v>
      </c>
      <c r="AC996" t="s">
        <v>85</v>
      </c>
      <c r="AD996" t="s">
        <v>86</v>
      </c>
      <c r="AE996" t="s">
        <v>87</v>
      </c>
    </row>
    <row r="997" spans="1:32" ht="22.15" customHeight="1">
      <c r="A997" s="12">
        <v>663</v>
      </c>
      <c r="B997" s="13"/>
      <c r="C997" s="13"/>
      <c r="D997" s="13"/>
      <c r="E997" s="13"/>
      <c r="F997" s="14"/>
      <c r="G997" s="15"/>
      <c r="H997" s="15"/>
      <c r="I997" s="24"/>
      <c r="J997" s="17"/>
      <c r="K997" s="18"/>
      <c r="L997" s="19"/>
      <c r="M997" s="31"/>
      <c r="N997" s="21"/>
      <c r="O997" s="30"/>
      <c r="P997" s="30"/>
      <c r="Q997" s="23"/>
      <c r="R997" s="24"/>
      <c r="U997" t="s">
        <v>88</v>
      </c>
      <c r="V997" t="s">
        <v>89</v>
      </c>
      <c r="W997" t="s">
        <v>90</v>
      </c>
      <c r="X997" t="s">
        <v>91</v>
      </c>
      <c r="Y997" t="s">
        <v>92</v>
      </c>
      <c r="AA997" t="s">
        <v>93</v>
      </c>
      <c r="AB997" t="s">
        <v>94</v>
      </c>
      <c r="AC997" t="s">
        <v>95</v>
      </c>
      <c r="AD997" t="s">
        <v>96</v>
      </c>
      <c r="AE997" t="s">
        <v>97</v>
      </c>
    </row>
    <row r="998" spans="1:32" ht="22.15" customHeight="1">
      <c r="A998" s="12">
        <v>664</v>
      </c>
      <c r="B998" s="12"/>
      <c r="C998" s="13"/>
      <c r="D998" s="13"/>
      <c r="E998" s="13"/>
      <c r="F998" s="14"/>
      <c r="G998" s="15"/>
      <c r="H998" s="15"/>
      <c r="I998" s="24"/>
      <c r="J998" s="17"/>
      <c r="K998" s="18"/>
      <c r="L998" s="19"/>
      <c r="M998" s="31"/>
      <c r="N998" s="21"/>
      <c r="O998" s="30"/>
      <c r="P998" s="30"/>
      <c r="Q998" s="23"/>
      <c r="R998" s="24"/>
      <c r="V998" t="s">
        <v>98</v>
      </c>
      <c r="W998" t="s">
        <v>99</v>
      </c>
    </row>
    <row r="999" spans="1:32" ht="22.15" customHeight="1">
      <c r="A999" s="12">
        <v>665</v>
      </c>
      <c r="B999" s="12"/>
      <c r="C999" s="13"/>
      <c r="D999" s="13"/>
      <c r="E999" s="13"/>
      <c r="F999" s="14"/>
      <c r="G999" s="15"/>
      <c r="H999" s="15"/>
      <c r="I999" s="24"/>
      <c r="J999" s="17"/>
      <c r="K999" s="18"/>
      <c r="L999" s="19"/>
      <c r="M999" s="31"/>
      <c r="N999" s="21"/>
      <c r="O999" s="30"/>
      <c r="P999" s="30"/>
      <c r="Q999" s="23"/>
      <c r="R999" s="24"/>
      <c r="U999" t="s">
        <v>100</v>
      </c>
      <c r="V999" t="s">
        <v>101</v>
      </c>
      <c r="W999" t="s">
        <v>102</v>
      </c>
      <c r="X999" t="s">
        <v>103</v>
      </c>
      <c r="Y999" t="s">
        <v>103</v>
      </c>
      <c r="AA999" t="s">
        <v>104</v>
      </c>
      <c r="AB999" t="s">
        <v>105</v>
      </c>
      <c r="AC999" t="s">
        <v>106</v>
      </c>
      <c r="AD999" t="s">
        <v>40</v>
      </c>
      <c r="AE999" t="s">
        <v>107</v>
      </c>
    </row>
    <row r="1000" spans="1:32" ht="22.15" customHeight="1">
      <c r="A1000" s="12">
        <v>666</v>
      </c>
      <c r="B1000" s="12"/>
      <c r="C1000" s="13"/>
      <c r="D1000" s="13"/>
      <c r="E1000" s="13"/>
      <c r="F1000" s="14"/>
      <c r="G1000" s="15"/>
      <c r="H1000" s="15"/>
      <c r="I1000" s="24"/>
      <c r="J1000" s="17"/>
      <c r="K1000" s="18"/>
      <c r="L1000" s="19"/>
      <c r="M1000" s="31"/>
      <c r="N1000" s="21"/>
      <c r="O1000" s="30"/>
      <c r="P1000" s="30"/>
      <c r="Q1000" s="23"/>
      <c r="R1000" s="24"/>
      <c r="X1000" t="s">
        <v>108</v>
      </c>
      <c r="Y1000" t="s">
        <v>108</v>
      </c>
      <c r="AA1000" t="s">
        <v>109</v>
      </c>
      <c r="AB1000" t="s">
        <v>110</v>
      </c>
      <c r="AC1000" t="s">
        <v>111</v>
      </c>
      <c r="AD1000" t="s">
        <v>52</v>
      </c>
    </row>
    <row r="1001" spans="1:32" ht="22.15" customHeight="1">
      <c r="A1001" s="12">
        <v>667</v>
      </c>
      <c r="B1001" s="12"/>
      <c r="C1001" s="13"/>
      <c r="D1001" s="13"/>
      <c r="E1001" s="13"/>
      <c r="F1001" s="14"/>
      <c r="G1001" s="15"/>
      <c r="H1001" s="15"/>
      <c r="I1001" s="24"/>
      <c r="J1001" s="17"/>
      <c r="K1001" s="18"/>
      <c r="L1001" s="19"/>
      <c r="M1001" s="31"/>
      <c r="N1001" s="21"/>
      <c r="O1001" s="30"/>
      <c r="P1001" s="30"/>
      <c r="Q1001" s="23"/>
      <c r="R1001" s="24"/>
      <c r="U1001" t="s">
        <v>112</v>
      </c>
      <c r="V1001" t="s">
        <v>113</v>
      </c>
      <c r="W1001" t="s">
        <v>114</v>
      </c>
      <c r="X1001" t="s">
        <v>115</v>
      </c>
      <c r="Y1001" t="s">
        <v>116</v>
      </c>
      <c r="AA1001" t="s">
        <v>117</v>
      </c>
      <c r="AB1001" t="s">
        <v>118</v>
      </c>
      <c r="AC1001" t="s">
        <v>119</v>
      </c>
      <c r="AD1001" t="s">
        <v>68</v>
      </c>
      <c r="AE1001" t="s">
        <v>120</v>
      </c>
    </row>
    <row r="1002" spans="1:32" ht="22.15" customHeight="1">
      <c r="A1002" s="12">
        <v>668</v>
      </c>
      <c r="B1002" s="12"/>
      <c r="C1002" s="13"/>
      <c r="D1002" s="13"/>
      <c r="E1002" s="13"/>
      <c r="F1002" s="14"/>
      <c r="G1002" s="15"/>
      <c r="H1002" s="15"/>
      <c r="I1002" s="24"/>
      <c r="J1002" s="17"/>
      <c r="K1002" s="18"/>
      <c r="L1002" s="19"/>
      <c r="M1002" s="31"/>
      <c r="N1002" s="21"/>
      <c r="O1002" s="30"/>
      <c r="P1002" s="30"/>
      <c r="Q1002" s="23"/>
      <c r="R1002" s="24"/>
      <c r="V1002" t="s">
        <v>121</v>
      </c>
      <c r="W1002" t="s">
        <v>122</v>
      </c>
      <c r="AE1002" t="s">
        <v>123</v>
      </c>
    </row>
    <row r="1003" spans="1:32" ht="22.15" customHeight="1">
      <c r="A1003" s="12">
        <v>669</v>
      </c>
      <c r="B1003" s="12"/>
      <c r="C1003" s="13"/>
      <c r="D1003" s="13"/>
      <c r="E1003" s="13"/>
      <c r="F1003" s="14"/>
      <c r="G1003" s="15"/>
      <c r="H1003" s="15"/>
      <c r="I1003" s="24"/>
      <c r="J1003" s="17"/>
      <c r="K1003" s="18"/>
      <c r="L1003" s="19"/>
      <c r="M1003" s="31"/>
      <c r="N1003" s="21"/>
      <c r="O1003" s="30"/>
      <c r="P1003" s="30"/>
      <c r="Q1003" s="23"/>
      <c r="R1003" s="24"/>
      <c r="U1003" t="s">
        <v>124</v>
      </c>
      <c r="V1003" t="s">
        <v>125</v>
      </c>
      <c r="W1003" t="s">
        <v>126</v>
      </c>
      <c r="X1003" t="s">
        <v>127</v>
      </c>
      <c r="Y1003" t="s">
        <v>128</v>
      </c>
      <c r="AA1003" t="s">
        <v>128</v>
      </c>
      <c r="AB1003" t="s">
        <v>129</v>
      </c>
      <c r="AC1003" t="s">
        <v>130</v>
      </c>
      <c r="AD1003" t="s">
        <v>131</v>
      </c>
      <c r="AE1003" t="s">
        <v>132</v>
      </c>
    </row>
    <row r="1004" spans="1:32" ht="22.15" customHeight="1">
      <c r="A1004" s="12">
        <v>670</v>
      </c>
      <c r="B1004" s="12"/>
      <c r="C1004" s="13"/>
      <c r="D1004" s="13"/>
      <c r="E1004" s="13"/>
      <c r="F1004" s="14"/>
      <c r="G1004" s="15"/>
      <c r="H1004" s="15"/>
      <c r="I1004" s="24"/>
      <c r="J1004" s="17"/>
      <c r="K1004" s="18"/>
      <c r="L1004" s="19"/>
      <c r="M1004" s="31"/>
      <c r="N1004" s="21"/>
      <c r="O1004" s="30"/>
      <c r="P1004" s="30"/>
      <c r="Q1004" s="23"/>
      <c r="R1004" s="24"/>
      <c r="U1004" t="s">
        <v>134</v>
      </c>
      <c r="X1004" t="s">
        <v>135</v>
      </c>
      <c r="Y1004" t="s">
        <v>136</v>
      </c>
      <c r="AA1004" t="s">
        <v>136</v>
      </c>
      <c r="AB1004" t="s">
        <v>137</v>
      </c>
      <c r="AC1004" t="s">
        <v>138</v>
      </c>
      <c r="AD1004" t="s">
        <v>139</v>
      </c>
    </row>
    <row r="1005" spans="1:32" ht="22.15" customHeight="1">
      <c r="A1005" s="12">
        <v>671</v>
      </c>
      <c r="B1005" s="12"/>
      <c r="C1005" s="13"/>
      <c r="D1005" s="13"/>
      <c r="E1005" s="13"/>
      <c r="F1005" s="14"/>
      <c r="G1005" s="15"/>
      <c r="H1005" s="15"/>
      <c r="I1005" s="24"/>
      <c r="J1005" s="17"/>
      <c r="K1005" s="18"/>
      <c r="L1005" s="19"/>
      <c r="M1005" s="31"/>
      <c r="N1005" s="21"/>
      <c r="O1005" s="30"/>
      <c r="P1005" s="30"/>
      <c r="Q1005" s="23"/>
      <c r="R1005" s="24"/>
      <c r="U1005" t="s">
        <v>140</v>
      </c>
      <c r="V1005" t="s">
        <v>141</v>
      </c>
      <c r="W1005" t="s">
        <v>142</v>
      </c>
      <c r="X1005" t="s">
        <v>143</v>
      </c>
      <c r="Y1005" t="s">
        <v>144</v>
      </c>
      <c r="AA1005" t="s">
        <v>144</v>
      </c>
      <c r="AB1005" t="s">
        <v>145</v>
      </c>
      <c r="AC1005" t="s">
        <v>146</v>
      </c>
      <c r="AD1005" t="s">
        <v>147</v>
      </c>
    </row>
    <row r="1006" spans="1:32" ht="22.15" customHeight="1">
      <c r="A1006" s="12">
        <v>672</v>
      </c>
      <c r="B1006" s="12"/>
      <c r="C1006" s="13"/>
      <c r="D1006" s="13"/>
      <c r="E1006" s="13"/>
      <c r="F1006" s="14"/>
      <c r="G1006" s="15"/>
      <c r="H1006" s="15"/>
      <c r="I1006" s="24"/>
      <c r="J1006" s="17"/>
      <c r="K1006" s="18"/>
      <c r="L1006" s="19"/>
      <c r="M1006" s="31"/>
      <c r="N1006" s="21"/>
      <c r="O1006" s="30"/>
      <c r="P1006" s="30"/>
      <c r="Q1006" s="23"/>
      <c r="R1006" s="24"/>
      <c r="V1006" t="s">
        <v>148</v>
      </c>
    </row>
    <row r="1007" spans="1:32" ht="22.15" customHeight="1">
      <c r="A1007" s="12">
        <v>673</v>
      </c>
      <c r="B1007" s="12"/>
      <c r="C1007" s="13"/>
      <c r="D1007" s="13"/>
      <c r="E1007" s="13"/>
      <c r="F1007" s="14"/>
      <c r="G1007" s="15"/>
      <c r="H1007" s="15"/>
      <c r="I1007" s="24"/>
      <c r="J1007" s="17"/>
      <c r="K1007" s="18"/>
      <c r="L1007" s="19"/>
      <c r="M1007" s="31"/>
      <c r="N1007" s="21"/>
      <c r="O1007" s="30"/>
      <c r="P1007" s="30"/>
      <c r="Q1007" s="23"/>
      <c r="R1007" s="24"/>
      <c r="U1007" t="s">
        <v>149</v>
      </c>
      <c r="W1007" t="s">
        <v>150</v>
      </c>
      <c r="X1007" t="s">
        <v>151</v>
      </c>
      <c r="Y1007" t="s">
        <v>127</v>
      </c>
      <c r="AA1007" t="s">
        <v>129</v>
      </c>
      <c r="AB1007" t="s">
        <v>130</v>
      </c>
      <c r="AC1007" t="s">
        <v>78</v>
      </c>
      <c r="AD1007" t="s">
        <v>152</v>
      </c>
    </row>
    <row r="1008" spans="1:32" ht="22.15" customHeight="1">
      <c r="A1008" s="12">
        <v>674</v>
      </c>
      <c r="B1008" s="12"/>
      <c r="C1008" s="13"/>
      <c r="D1008" s="13"/>
      <c r="E1008" s="13"/>
      <c r="F1008" s="14"/>
      <c r="G1008" s="15"/>
      <c r="H1008" s="15"/>
      <c r="I1008" s="24"/>
      <c r="J1008" s="17"/>
      <c r="K1008" s="18"/>
      <c r="L1008" s="19"/>
      <c r="M1008" s="31"/>
      <c r="N1008" s="21"/>
      <c r="O1008" s="30"/>
      <c r="P1008" s="30"/>
      <c r="Q1008" s="23"/>
      <c r="R1008" s="24"/>
      <c r="U1008" t="s">
        <v>153</v>
      </c>
      <c r="V1008" t="s">
        <v>154</v>
      </c>
      <c r="W1008" t="s">
        <v>155</v>
      </c>
      <c r="X1008" t="s">
        <v>156</v>
      </c>
      <c r="Y1008" t="s">
        <v>135</v>
      </c>
      <c r="AA1008" t="s">
        <v>137</v>
      </c>
      <c r="AB1008" t="s">
        <v>138</v>
      </c>
      <c r="AC1008" t="s">
        <v>86</v>
      </c>
      <c r="AD1008" t="s">
        <v>157</v>
      </c>
    </row>
    <row r="1009" spans="1:32" ht="22.15" customHeight="1">
      <c r="A1009" s="12">
        <v>675</v>
      </c>
      <c r="B1009" s="12"/>
      <c r="C1009" s="13"/>
      <c r="D1009" s="13"/>
      <c r="E1009" s="13"/>
      <c r="F1009" s="14"/>
      <c r="G1009" s="15"/>
      <c r="H1009" s="15"/>
      <c r="I1009" s="24"/>
      <c r="J1009" s="17"/>
      <c r="K1009" s="18"/>
      <c r="L1009" s="19"/>
      <c r="M1009" s="31"/>
      <c r="N1009" s="21"/>
      <c r="O1009" s="30"/>
      <c r="P1009" s="30"/>
      <c r="Q1009" s="23"/>
      <c r="R1009" s="24"/>
      <c r="U1009" t="s">
        <v>158</v>
      </c>
      <c r="V1009" t="s">
        <v>159</v>
      </c>
      <c r="X1009" t="s">
        <v>160</v>
      </c>
      <c r="Y1009" t="s">
        <v>143</v>
      </c>
      <c r="AA1009" t="s">
        <v>145</v>
      </c>
      <c r="AB1009" t="s">
        <v>146</v>
      </c>
      <c r="AC1009" t="s">
        <v>96</v>
      </c>
      <c r="AD1009" t="s">
        <v>161</v>
      </c>
    </row>
    <row r="1010" spans="1:32" ht="22.15" customHeight="1">
      <c r="A1010" s="12">
        <v>676</v>
      </c>
      <c r="B1010" s="12"/>
      <c r="C1010" s="13"/>
      <c r="D1010" s="13"/>
      <c r="E1010" s="13"/>
      <c r="F1010" s="14"/>
      <c r="G1010" s="15"/>
      <c r="H1010" s="15"/>
      <c r="I1010" s="24"/>
      <c r="J1010" s="17"/>
      <c r="K1010" s="18"/>
      <c r="L1010" s="19"/>
      <c r="M1010" s="31"/>
      <c r="N1010" s="21"/>
      <c r="O1010" s="30"/>
      <c r="P1010" s="30"/>
      <c r="Q1010" s="23"/>
      <c r="R1010" s="24"/>
      <c r="V1010" t="s">
        <v>162</v>
      </c>
      <c r="W1010" t="s">
        <v>163</v>
      </c>
    </row>
    <row r="1011" spans="1:32" ht="22.15" customHeight="1">
      <c r="A1011" s="12">
        <v>677</v>
      </c>
      <c r="B1011" s="12"/>
      <c r="C1011" s="13"/>
      <c r="D1011" s="13"/>
      <c r="E1011" s="13"/>
      <c r="F1011" s="14"/>
      <c r="G1011" s="15"/>
      <c r="H1011" s="15"/>
      <c r="I1011" s="24"/>
      <c r="J1011" s="17"/>
      <c r="K1011" s="18"/>
      <c r="L1011" s="19"/>
      <c r="M1011" s="31"/>
      <c r="N1011" s="21"/>
      <c r="O1011" s="30"/>
      <c r="P1011" s="30"/>
      <c r="Q1011" s="23"/>
      <c r="R1011" s="24"/>
      <c r="U1011" t="s">
        <v>164</v>
      </c>
      <c r="W1011" t="s">
        <v>165</v>
      </c>
      <c r="X1011" t="s">
        <v>166</v>
      </c>
      <c r="Y1011" t="s">
        <v>151</v>
      </c>
      <c r="AA1011" t="s">
        <v>151</v>
      </c>
      <c r="AB1011" t="s">
        <v>167</v>
      </c>
      <c r="AC1011" t="s">
        <v>168</v>
      </c>
      <c r="AD1011" t="s">
        <v>169</v>
      </c>
    </row>
    <row r="1012" spans="1:32" ht="22.15" customHeight="1">
      <c r="A1012" s="12">
        <v>678</v>
      </c>
      <c r="B1012" s="12"/>
      <c r="C1012" s="13"/>
      <c r="D1012" s="13"/>
      <c r="E1012" s="13"/>
      <c r="F1012" s="14"/>
      <c r="G1012" s="15"/>
      <c r="H1012" s="15"/>
      <c r="I1012" s="24"/>
      <c r="J1012" s="17"/>
      <c r="K1012" s="18"/>
      <c r="L1012" s="19"/>
      <c r="M1012" s="31"/>
      <c r="N1012" s="21"/>
      <c r="O1012" s="30"/>
      <c r="P1012" s="30"/>
      <c r="Q1012" s="23"/>
      <c r="R1012" s="24"/>
      <c r="U1012" t="s">
        <v>170</v>
      </c>
      <c r="V1012" t="s">
        <v>171</v>
      </c>
      <c r="W1012" t="s">
        <v>172</v>
      </c>
      <c r="Y1012" t="s">
        <v>156</v>
      </c>
      <c r="AA1012" t="s">
        <v>156</v>
      </c>
      <c r="AB1012" t="s">
        <v>173</v>
      </c>
      <c r="AC1012" t="s">
        <v>174</v>
      </c>
      <c r="AD1012" t="s">
        <v>175</v>
      </c>
    </row>
    <row r="1013" spans="1:32" ht="22.15" customHeight="1">
      <c r="A1013" s="12">
        <v>679</v>
      </c>
      <c r="B1013" s="12"/>
      <c r="C1013" s="13"/>
      <c r="D1013" s="13"/>
      <c r="E1013" s="13"/>
      <c r="F1013" s="14"/>
      <c r="G1013" s="15"/>
      <c r="H1013" s="15"/>
      <c r="I1013" s="24"/>
      <c r="J1013" s="17"/>
      <c r="K1013" s="18"/>
      <c r="L1013" s="19"/>
      <c r="M1013" s="31"/>
      <c r="N1013" s="21"/>
      <c r="O1013" s="30"/>
      <c r="P1013" s="30"/>
      <c r="Q1013" s="23"/>
      <c r="R1013" s="24"/>
      <c r="U1013" t="s">
        <v>176</v>
      </c>
      <c r="V1013" t="s">
        <v>177</v>
      </c>
      <c r="X1013" t="s">
        <v>178</v>
      </c>
      <c r="Y1013" t="s">
        <v>160</v>
      </c>
      <c r="AA1013" t="s">
        <v>160</v>
      </c>
      <c r="AB1013" t="s">
        <v>179</v>
      </c>
      <c r="AC1013" t="s">
        <v>180</v>
      </c>
      <c r="AD1013" t="s">
        <v>181</v>
      </c>
    </row>
    <row r="1014" spans="1:32" ht="22.15" customHeight="1">
      <c r="A1014" s="12">
        <v>680</v>
      </c>
      <c r="B1014" s="12"/>
      <c r="C1014" s="13"/>
      <c r="D1014" s="13"/>
      <c r="E1014" s="13"/>
      <c r="F1014" s="14"/>
      <c r="G1014" s="15"/>
      <c r="H1014" s="15"/>
      <c r="I1014" s="24"/>
      <c r="J1014" s="17"/>
      <c r="K1014" s="18"/>
      <c r="L1014" s="19"/>
      <c r="M1014" s="31"/>
      <c r="N1014" s="21"/>
      <c r="O1014" s="30"/>
      <c r="P1014" s="30"/>
      <c r="Q1014" s="23"/>
      <c r="R1014" s="24"/>
      <c r="V1014" t="s">
        <v>184</v>
      </c>
      <c r="W1014" t="s">
        <v>185</v>
      </c>
      <c r="X1014" t="s">
        <v>186</v>
      </c>
    </row>
    <row r="1015" spans="1:32" ht="18" customHeight="1">
      <c r="A1015" s="47" t="s">
        <v>302</v>
      </c>
      <c r="B1015" s="48"/>
      <c r="C1015" s="48"/>
      <c r="D1015" s="48"/>
      <c r="E1015" s="49"/>
      <c r="F1015" s="50" t="s">
        <v>183</v>
      </c>
      <c r="G1015" s="51"/>
      <c r="H1015" s="51"/>
      <c r="I1015" s="51"/>
      <c r="J1015" s="51"/>
      <c r="K1015" s="51"/>
      <c r="L1015" s="51"/>
      <c r="M1015" s="51"/>
      <c r="N1015" s="51"/>
      <c r="O1015" s="51"/>
      <c r="P1015" s="51"/>
      <c r="Q1015" s="51"/>
      <c r="R1015" s="52"/>
      <c r="U1015" t="s">
        <v>320</v>
      </c>
      <c r="W1015" t="s">
        <v>321</v>
      </c>
      <c r="X1015" t="s">
        <v>322</v>
      </c>
      <c r="Y1015" t="s">
        <v>323</v>
      </c>
      <c r="AA1015" s="16" t="s">
        <v>167</v>
      </c>
      <c r="AB1015" s="16" t="s">
        <v>168</v>
      </c>
      <c r="AC1015" s="16" t="s">
        <v>131</v>
      </c>
      <c r="AD1015" s="16" t="s">
        <v>253</v>
      </c>
    </row>
    <row r="1016" spans="1:32" ht="18" customHeight="1">
      <c r="A1016" s="12">
        <v>1</v>
      </c>
      <c r="B1016" s="47" t="s">
        <v>187</v>
      </c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  <c r="P1016" s="48"/>
      <c r="Q1016" s="48"/>
      <c r="R1016" s="49"/>
      <c r="AA1016" s="27" t="s">
        <v>188</v>
      </c>
      <c r="AB1016" s="27" t="s">
        <v>189</v>
      </c>
      <c r="AC1016" s="27" t="s">
        <v>190</v>
      </c>
    </row>
    <row r="1017" spans="1:32" ht="18" customHeight="1">
      <c r="A1017" s="23">
        <v>2</v>
      </c>
      <c r="B1017" s="53" t="s">
        <v>191</v>
      </c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  <c r="O1017" s="54"/>
      <c r="P1017" s="54"/>
      <c r="Q1017" s="54"/>
      <c r="R1017" s="55"/>
      <c r="U1017" t="s">
        <v>192</v>
      </c>
      <c r="V1017" s="16" t="s">
        <v>193</v>
      </c>
      <c r="W1017" t="s">
        <v>194</v>
      </c>
      <c r="Y1017" t="s">
        <v>195</v>
      </c>
      <c r="AA1017" s="16" t="s">
        <v>173</v>
      </c>
      <c r="AB1017" s="16" t="s">
        <v>174</v>
      </c>
      <c r="AC1017" s="16" t="s">
        <v>139</v>
      </c>
      <c r="AD1017" s="16" t="s">
        <v>196</v>
      </c>
    </row>
    <row r="1018" spans="1:32" ht="18" customHeight="1">
      <c r="A1018" s="23">
        <v>3</v>
      </c>
      <c r="B1018" s="47" t="s">
        <v>197</v>
      </c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  <c r="P1018" s="48"/>
      <c r="Q1018" s="48"/>
      <c r="R1018" s="49"/>
      <c r="V1018" s="16" t="s">
        <v>198</v>
      </c>
      <c r="X1018" s="16" t="s">
        <v>199</v>
      </c>
      <c r="Y1018" t="s">
        <v>200</v>
      </c>
      <c r="AA1018" s="16" t="s">
        <v>179</v>
      </c>
      <c r="AB1018" s="16" t="s">
        <v>180</v>
      </c>
      <c r="AC1018" s="16" t="s">
        <v>147</v>
      </c>
      <c r="AD1018" s="16" t="s">
        <v>201</v>
      </c>
    </row>
    <row r="1019" spans="1:32" ht="18" customHeight="1">
      <c r="A1019" s="37" t="s">
        <v>202</v>
      </c>
      <c r="B1019" s="38"/>
      <c r="C1019" s="39">
        <f>C689</f>
        <v>0</v>
      </c>
      <c r="D1019" s="39"/>
      <c r="E1019" s="37" t="s">
        <v>203</v>
      </c>
      <c r="F1019" s="40"/>
      <c r="G1019" s="41">
        <f>G689</f>
        <v>0</v>
      </c>
      <c r="H1019" s="42"/>
      <c r="I1019" s="42"/>
      <c r="J1019" s="42"/>
      <c r="K1019" s="28" t="s">
        <v>204</v>
      </c>
      <c r="L1019" s="43" t="s">
        <v>205</v>
      </c>
      <c r="M1019" s="43"/>
      <c r="N1019" s="43"/>
      <c r="O1019" s="43"/>
      <c r="P1019" s="43"/>
      <c r="Q1019" s="43"/>
      <c r="R1019" s="43"/>
      <c r="U1019" t="s">
        <v>206</v>
      </c>
      <c r="W1019" s="16" t="s">
        <v>207</v>
      </c>
      <c r="X1019" s="16" t="s">
        <v>208</v>
      </c>
    </row>
    <row r="1020" spans="1:32" ht="18" customHeight="1">
      <c r="A1020" s="37" t="s">
        <v>209</v>
      </c>
      <c r="B1020" s="38"/>
      <c r="C1020" s="39">
        <f>C690</f>
        <v>0</v>
      </c>
      <c r="D1020" s="39"/>
      <c r="E1020" s="37" t="s">
        <v>210</v>
      </c>
      <c r="F1020" s="40"/>
      <c r="G1020" s="41">
        <f>G690</f>
        <v>0</v>
      </c>
      <c r="H1020" s="42"/>
      <c r="I1020" s="42"/>
      <c r="J1020" s="42"/>
      <c r="K1020" s="28" t="s">
        <v>204</v>
      </c>
      <c r="L1020" s="43" t="s">
        <v>205</v>
      </c>
      <c r="M1020" s="43"/>
      <c r="N1020" s="43"/>
      <c r="O1020" s="43"/>
      <c r="P1020" s="43"/>
      <c r="Q1020" s="43"/>
      <c r="R1020" s="43"/>
      <c r="V1020" s="16" t="s">
        <v>211</v>
      </c>
      <c r="W1020" s="16" t="s">
        <v>212</v>
      </c>
      <c r="Y1020" t="s">
        <v>213</v>
      </c>
      <c r="AA1020" s="16" t="s">
        <v>214</v>
      </c>
      <c r="AB1020" s="16" t="s">
        <v>214</v>
      </c>
      <c r="AC1020" s="16" t="s">
        <v>215</v>
      </c>
      <c r="AD1020" s="16" t="s">
        <v>216</v>
      </c>
    </row>
    <row r="1021" spans="1:32" ht="48" customHeight="1">
      <c r="A1021" s="69" t="s">
        <v>0</v>
      </c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1" t="s">
        <v>1</v>
      </c>
      <c r="M1021" s="71"/>
      <c r="N1021" s="71"/>
      <c r="O1021" s="71"/>
      <c r="P1021" s="71"/>
      <c r="Q1021" s="1" t="s">
        <v>2</v>
      </c>
      <c r="R1021" s="2" t="s">
        <v>3</v>
      </c>
      <c r="S1021" s="3"/>
      <c r="T1021" s="3" t="s">
        <v>4</v>
      </c>
      <c r="U1021" s="4" t="s">
        <v>5</v>
      </c>
      <c r="V1021" s="4" t="s">
        <v>6</v>
      </c>
      <c r="W1021" s="4" t="s">
        <v>7</v>
      </c>
      <c r="X1021" s="4" t="s">
        <v>8</v>
      </c>
      <c r="Y1021" s="4" t="s">
        <v>9</v>
      </c>
      <c r="Z1021" s="4"/>
      <c r="AA1021" s="4" t="s">
        <v>10</v>
      </c>
      <c r="AB1021" s="4" t="s">
        <v>11</v>
      </c>
      <c r="AC1021" s="4" t="s">
        <v>12</v>
      </c>
      <c r="AD1021" s="4" t="s">
        <v>13</v>
      </c>
      <c r="AE1021" s="4" t="s">
        <v>14</v>
      </c>
      <c r="AF1021" s="4" t="s">
        <v>15</v>
      </c>
    </row>
    <row r="1022" spans="1:32" s="8" customFormat="1" ht="18" customHeight="1">
      <c r="A1022" s="5" t="s">
        <v>16</v>
      </c>
      <c r="B1022" s="44">
        <f>B662</f>
        <v>0</v>
      </c>
      <c r="C1022" s="45"/>
      <c r="D1022" s="45"/>
      <c r="E1022" s="6" t="str">
        <f>E662</f>
        <v>Version:1</v>
      </c>
      <c r="F1022" s="72" t="s">
        <v>18</v>
      </c>
      <c r="G1022" s="74" t="s">
        <v>19</v>
      </c>
      <c r="H1022" s="74" t="s">
        <v>20</v>
      </c>
      <c r="I1022" s="77" t="s">
        <v>21</v>
      </c>
      <c r="J1022" s="62" t="s">
        <v>22</v>
      </c>
      <c r="K1022" s="79" t="s">
        <v>23</v>
      </c>
      <c r="L1022" s="62" t="s">
        <v>24</v>
      </c>
      <c r="M1022" s="56" t="s">
        <v>25</v>
      </c>
      <c r="N1022" s="59" t="s">
        <v>26</v>
      </c>
      <c r="O1022" s="62" t="s">
        <v>27</v>
      </c>
      <c r="P1022" s="65" t="s">
        <v>28</v>
      </c>
      <c r="Q1022" s="66" t="s">
        <v>29</v>
      </c>
      <c r="R1022" s="68" t="s">
        <v>30</v>
      </c>
      <c r="S1022"/>
      <c r="T1022" s="7" t="str">
        <f>IF(C1055&gt;18,IF(C1055=20,Nennweite20,IF(C1055=60,U1024,IF(C1055=50,Nennweite50,IF(C1055=25,Nennweite25,IF(C1055=32,Nennweite32,IF(C1055=40,Nennweite40,"&gt;")))))),IF(C1055=8,Nennweite8,IF(C1055=6,Nennweite6,IF(C1055=10,Nennweite10,IF(C1055=18,Nennweite18,IF(C1055=16,Nennweite16,IF(C1055=12,Nennweite12,"")))))))</f>
        <v/>
      </c>
      <c r="U1022" t="s">
        <v>31</v>
      </c>
      <c r="V1022" t="s">
        <v>32</v>
      </c>
      <c r="W1022" t="s">
        <v>33</v>
      </c>
      <c r="X1022" t="s">
        <v>34</v>
      </c>
      <c r="Y1022" t="s">
        <v>35</v>
      </c>
      <c r="Z1022"/>
      <c r="AA1022" t="s">
        <v>36</v>
      </c>
      <c r="AB1022" t="s">
        <v>37</v>
      </c>
      <c r="AC1022" t="s">
        <v>38</v>
      </c>
      <c r="AD1022" t="s">
        <v>39</v>
      </c>
      <c r="AE1022" t="s">
        <v>40</v>
      </c>
      <c r="AF1022" t="s">
        <v>41</v>
      </c>
    </row>
    <row r="1023" spans="1:32" ht="18" customHeight="1">
      <c r="A1023" s="5" t="s">
        <v>42</v>
      </c>
      <c r="B1023" s="44">
        <f>B663</f>
        <v>0</v>
      </c>
      <c r="C1023" s="45"/>
      <c r="D1023" s="45"/>
      <c r="E1023" s="46"/>
      <c r="F1023" s="72"/>
      <c r="G1023" s="75"/>
      <c r="H1023" s="75"/>
      <c r="I1023" s="77"/>
      <c r="J1023" s="63"/>
      <c r="K1023" s="80"/>
      <c r="L1023" s="63"/>
      <c r="M1023" s="57"/>
      <c r="N1023" s="60"/>
      <c r="O1023" s="63"/>
      <c r="P1023" s="63"/>
      <c r="Q1023" s="66"/>
      <c r="R1023" s="66"/>
      <c r="U1023" t="s">
        <v>43</v>
      </c>
      <c r="V1023" t="s">
        <v>44</v>
      </c>
      <c r="W1023" t="s">
        <v>45</v>
      </c>
      <c r="X1023" t="s">
        <v>46</v>
      </c>
      <c r="Y1023" t="s">
        <v>47</v>
      </c>
      <c r="AA1023" t="s">
        <v>48</v>
      </c>
      <c r="AB1023" t="s">
        <v>49</v>
      </c>
      <c r="AC1023" t="s">
        <v>50</v>
      </c>
      <c r="AD1023" t="s">
        <v>51</v>
      </c>
      <c r="AE1023" t="s">
        <v>52</v>
      </c>
      <c r="AF1023" t="s">
        <v>53</v>
      </c>
    </row>
    <row r="1024" spans="1:32" ht="18" customHeight="1" thickBot="1">
      <c r="A1024" s="9" t="s">
        <v>54</v>
      </c>
      <c r="B1024" s="10" t="s">
        <v>55</v>
      </c>
      <c r="C1024" s="10" t="s">
        <v>56</v>
      </c>
      <c r="D1024" s="11" t="s">
        <v>57</v>
      </c>
      <c r="E1024" s="9" t="s">
        <v>58</v>
      </c>
      <c r="F1024" s="73"/>
      <c r="G1024" s="76"/>
      <c r="H1024" s="76"/>
      <c r="I1024" s="78"/>
      <c r="J1024" s="64"/>
      <c r="K1024" s="81"/>
      <c r="L1024" s="64"/>
      <c r="M1024" s="58"/>
      <c r="N1024" s="61"/>
      <c r="O1024" s="64"/>
      <c r="P1024" s="64"/>
      <c r="Q1024" s="67"/>
      <c r="R1024" s="67"/>
      <c r="U1024" t="s">
        <v>59</v>
      </c>
      <c r="V1024" t="s">
        <v>60</v>
      </c>
      <c r="W1024" t="s">
        <v>61</v>
      </c>
      <c r="X1024" t="s">
        <v>62</v>
      </c>
      <c r="Y1024" t="s">
        <v>63</v>
      </c>
      <c r="AA1024" t="s">
        <v>64</v>
      </c>
      <c r="AB1024" t="s">
        <v>65</v>
      </c>
      <c r="AC1024" t="s">
        <v>66</v>
      </c>
      <c r="AD1024" t="s">
        <v>67</v>
      </c>
      <c r="AE1024" t="s">
        <v>68</v>
      </c>
      <c r="AF1024" t="s">
        <v>69</v>
      </c>
    </row>
    <row r="1025" spans="1:31" ht="22.15" customHeight="1">
      <c r="A1025" s="12">
        <v>681</v>
      </c>
      <c r="B1025" s="13"/>
      <c r="C1025" s="13"/>
      <c r="D1025" s="13"/>
      <c r="E1025" s="13"/>
      <c r="F1025" s="14"/>
      <c r="G1025" s="15"/>
      <c r="H1025" s="15"/>
      <c r="I1025" s="24"/>
      <c r="J1025" s="17"/>
      <c r="K1025" s="18"/>
      <c r="L1025" s="19"/>
      <c r="M1025" s="31"/>
      <c r="N1025" s="21"/>
      <c r="O1025" s="30"/>
      <c r="P1025" s="30"/>
      <c r="Q1025" s="23"/>
      <c r="R1025" s="24"/>
      <c r="U1025" t="s">
        <v>70</v>
      </c>
      <c r="V1025" t="s">
        <v>71</v>
      </c>
      <c r="W1025" t="s">
        <v>72</v>
      </c>
      <c r="X1025" t="s">
        <v>73</v>
      </c>
      <c r="Y1025" t="s">
        <v>74</v>
      </c>
      <c r="AA1025" t="s">
        <v>75</v>
      </c>
      <c r="AB1025" t="s">
        <v>76</v>
      </c>
      <c r="AC1025" t="s">
        <v>77</v>
      </c>
      <c r="AD1025" t="s">
        <v>78</v>
      </c>
      <c r="AE1025" t="s">
        <v>79</v>
      </c>
    </row>
    <row r="1026" spans="1:31" ht="22.15" customHeight="1">
      <c r="A1026" s="12">
        <v>682</v>
      </c>
      <c r="B1026" s="13"/>
      <c r="C1026" s="13"/>
      <c r="D1026" s="13"/>
      <c r="E1026" s="13"/>
      <c r="F1026" s="14"/>
      <c r="G1026" s="15"/>
      <c r="H1026" s="15"/>
      <c r="I1026" s="24"/>
      <c r="J1026" s="17"/>
      <c r="K1026" s="18"/>
      <c r="L1026" s="19"/>
      <c r="M1026" s="31"/>
      <c r="N1026" s="21"/>
      <c r="O1026" s="30"/>
      <c r="P1026" s="30"/>
      <c r="Q1026" s="23"/>
      <c r="R1026" s="24"/>
      <c r="U1026" t="s">
        <v>80</v>
      </c>
      <c r="X1026" t="s">
        <v>81</v>
      </c>
      <c r="Y1026" t="s">
        <v>82</v>
      </c>
      <c r="AA1026" t="s">
        <v>83</v>
      </c>
      <c r="AB1026" t="s">
        <v>84</v>
      </c>
      <c r="AC1026" t="s">
        <v>85</v>
      </c>
      <c r="AD1026" t="s">
        <v>86</v>
      </c>
      <c r="AE1026" t="s">
        <v>87</v>
      </c>
    </row>
    <row r="1027" spans="1:31" ht="22.15" customHeight="1">
      <c r="A1027" s="12">
        <v>683</v>
      </c>
      <c r="B1027" s="13"/>
      <c r="C1027" s="13"/>
      <c r="D1027" s="13"/>
      <c r="E1027" s="13"/>
      <c r="F1027" s="14"/>
      <c r="G1027" s="15"/>
      <c r="H1027" s="15"/>
      <c r="I1027" s="24"/>
      <c r="J1027" s="17"/>
      <c r="K1027" s="18"/>
      <c r="L1027" s="19"/>
      <c r="M1027" s="31"/>
      <c r="N1027" s="21"/>
      <c r="O1027" s="30"/>
      <c r="P1027" s="30"/>
      <c r="Q1027" s="23"/>
      <c r="R1027" s="24"/>
      <c r="U1027" t="s">
        <v>88</v>
      </c>
      <c r="V1027" t="s">
        <v>89</v>
      </c>
      <c r="W1027" t="s">
        <v>90</v>
      </c>
      <c r="X1027" t="s">
        <v>91</v>
      </c>
      <c r="Y1027" t="s">
        <v>92</v>
      </c>
      <c r="AA1027" t="s">
        <v>93</v>
      </c>
      <c r="AB1027" t="s">
        <v>94</v>
      </c>
      <c r="AC1027" t="s">
        <v>95</v>
      </c>
      <c r="AD1027" t="s">
        <v>96</v>
      </c>
      <c r="AE1027" t="s">
        <v>97</v>
      </c>
    </row>
    <row r="1028" spans="1:31" ht="22.15" customHeight="1">
      <c r="A1028" s="12">
        <v>684</v>
      </c>
      <c r="B1028" s="12"/>
      <c r="C1028" s="13"/>
      <c r="D1028" s="13"/>
      <c r="E1028" s="13"/>
      <c r="F1028" s="14"/>
      <c r="G1028" s="15"/>
      <c r="H1028" s="15"/>
      <c r="I1028" s="24"/>
      <c r="J1028" s="17"/>
      <c r="K1028" s="18"/>
      <c r="L1028" s="19"/>
      <c r="M1028" s="31"/>
      <c r="N1028" s="21"/>
      <c r="O1028" s="30"/>
      <c r="P1028" s="30"/>
      <c r="Q1028" s="23"/>
      <c r="R1028" s="24"/>
      <c r="V1028" t="s">
        <v>98</v>
      </c>
      <c r="W1028" t="s">
        <v>99</v>
      </c>
    </row>
    <row r="1029" spans="1:31" ht="22.15" customHeight="1">
      <c r="A1029" s="12">
        <v>685</v>
      </c>
      <c r="B1029" s="12"/>
      <c r="C1029" s="13"/>
      <c r="D1029" s="13"/>
      <c r="E1029" s="13"/>
      <c r="F1029" s="14"/>
      <c r="G1029" s="15"/>
      <c r="H1029" s="15"/>
      <c r="I1029" s="24"/>
      <c r="J1029" s="17"/>
      <c r="K1029" s="18"/>
      <c r="L1029" s="19"/>
      <c r="M1029" s="31"/>
      <c r="N1029" s="21"/>
      <c r="O1029" s="30"/>
      <c r="P1029" s="30"/>
      <c r="Q1029" s="23"/>
      <c r="R1029" s="24"/>
      <c r="U1029" t="s">
        <v>100</v>
      </c>
      <c r="V1029" t="s">
        <v>101</v>
      </c>
      <c r="W1029" t="s">
        <v>102</v>
      </c>
      <c r="X1029" t="s">
        <v>103</v>
      </c>
      <c r="Y1029" t="s">
        <v>103</v>
      </c>
      <c r="AA1029" t="s">
        <v>104</v>
      </c>
      <c r="AB1029" t="s">
        <v>105</v>
      </c>
      <c r="AC1029" t="s">
        <v>106</v>
      </c>
      <c r="AD1029" t="s">
        <v>40</v>
      </c>
      <c r="AE1029" t="s">
        <v>107</v>
      </c>
    </row>
    <row r="1030" spans="1:31" ht="22.15" customHeight="1">
      <c r="A1030" s="12">
        <v>686</v>
      </c>
      <c r="B1030" s="12"/>
      <c r="C1030" s="13"/>
      <c r="D1030" s="13"/>
      <c r="E1030" s="13"/>
      <c r="F1030" s="14"/>
      <c r="G1030" s="15"/>
      <c r="H1030" s="15"/>
      <c r="I1030" s="24"/>
      <c r="J1030" s="17"/>
      <c r="K1030" s="18"/>
      <c r="L1030" s="19"/>
      <c r="M1030" s="31"/>
      <c r="N1030" s="21"/>
      <c r="O1030" s="30"/>
      <c r="P1030" s="30"/>
      <c r="Q1030" s="23"/>
      <c r="R1030" s="24"/>
      <c r="X1030" t="s">
        <v>108</v>
      </c>
      <c r="Y1030" t="s">
        <v>108</v>
      </c>
      <c r="AA1030" t="s">
        <v>109</v>
      </c>
      <c r="AB1030" t="s">
        <v>110</v>
      </c>
      <c r="AC1030" t="s">
        <v>111</v>
      </c>
      <c r="AD1030" t="s">
        <v>52</v>
      </c>
    </row>
    <row r="1031" spans="1:31" ht="22.15" customHeight="1">
      <c r="A1031" s="12">
        <v>687</v>
      </c>
      <c r="B1031" s="12"/>
      <c r="C1031" s="13"/>
      <c r="D1031" s="13"/>
      <c r="E1031" s="13"/>
      <c r="F1031" s="14"/>
      <c r="G1031" s="15"/>
      <c r="H1031" s="15"/>
      <c r="I1031" s="24"/>
      <c r="J1031" s="17"/>
      <c r="K1031" s="18"/>
      <c r="L1031" s="19"/>
      <c r="M1031" s="31"/>
      <c r="N1031" s="21"/>
      <c r="O1031" s="30"/>
      <c r="P1031" s="30"/>
      <c r="Q1031" s="23"/>
      <c r="R1031" s="24"/>
      <c r="U1031" t="s">
        <v>112</v>
      </c>
      <c r="V1031" t="s">
        <v>113</v>
      </c>
      <c r="W1031" t="s">
        <v>114</v>
      </c>
      <c r="X1031" t="s">
        <v>115</v>
      </c>
      <c r="Y1031" t="s">
        <v>116</v>
      </c>
      <c r="AA1031" t="s">
        <v>117</v>
      </c>
      <c r="AB1031" t="s">
        <v>118</v>
      </c>
      <c r="AC1031" t="s">
        <v>119</v>
      </c>
      <c r="AD1031" t="s">
        <v>68</v>
      </c>
      <c r="AE1031" t="s">
        <v>120</v>
      </c>
    </row>
    <row r="1032" spans="1:31" ht="22.15" customHeight="1">
      <c r="A1032" s="12">
        <v>688</v>
      </c>
      <c r="B1032" s="12"/>
      <c r="C1032" s="13"/>
      <c r="D1032" s="13"/>
      <c r="E1032" s="13"/>
      <c r="F1032" s="14"/>
      <c r="G1032" s="15"/>
      <c r="H1032" s="15"/>
      <c r="I1032" s="24"/>
      <c r="J1032" s="17"/>
      <c r="K1032" s="18"/>
      <c r="L1032" s="19"/>
      <c r="M1032" s="31"/>
      <c r="N1032" s="21"/>
      <c r="O1032" s="30"/>
      <c r="P1032" s="30"/>
      <c r="Q1032" s="23"/>
      <c r="R1032" s="24"/>
      <c r="V1032" t="s">
        <v>121</v>
      </c>
      <c r="W1032" t="s">
        <v>122</v>
      </c>
      <c r="AE1032" t="s">
        <v>123</v>
      </c>
    </row>
    <row r="1033" spans="1:31" ht="22.15" customHeight="1">
      <c r="A1033" s="12">
        <v>689</v>
      </c>
      <c r="B1033" s="12"/>
      <c r="C1033" s="13"/>
      <c r="D1033" s="13"/>
      <c r="E1033" s="13"/>
      <c r="F1033" s="14"/>
      <c r="G1033" s="15"/>
      <c r="H1033" s="15"/>
      <c r="I1033" s="24"/>
      <c r="J1033" s="17"/>
      <c r="K1033" s="18"/>
      <c r="L1033" s="19"/>
      <c r="M1033" s="31"/>
      <c r="N1033" s="21"/>
      <c r="O1033" s="30"/>
      <c r="P1033" s="30"/>
      <c r="Q1033" s="23"/>
      <c r="R1033" s="24"/>
      <c r="U1033" t="s">
        <v>124</v>
      </c>
      <c r="V1033" t="s">
        <v>125</v>
      </c>
      <c r="W1033" t="s">
        <v>126</v>
      </c>
      <c r="X1033" t="s">
        <v>127</v>
      </c>
      <c r="Y1033" t="s">
        <v>128</v>
      </c>
      <c r="AA1033" t="s">
        <v>128</v>
      </c>
      <c r="AB1033" t="s">
        <v>129</v>
      </c>
      <c r="AC1033" t="s">
        <v>130</v>
      </c>
      <c r="AD1033" t="s">
        <v>131</v>
      </c>
      <c r="AE1033" t="s">
        <v>132</v>
      </c>
    </row>
    <row r="1034" spans="1:31" ht="22.15" customHeight="1">
      <c r="A1034" s="12">
        <v>690</v>
      </c>
      <c r="B1034" s="12"/>
      <c r="C1034" s="13"/>
      <c r="D1034" s="13"/>
      <c r="E1034" s="13"/>
      <c r="F1034" s="14"/>
      <c r="G1034" s="15"/>
      <c r="H1034" s="15"/>
      <c r="I1034" s="24"/>
      <c r="J1034" s="17"/>
      <c r="K1034" s="18"/>
      <c r="L1034" s="19"/>
      <c r="M1034" s="31"/>
      <c r="N1034" s="21"/>
      <c r="O1034" s="30"/>
      <c r="P1034" s="30"/>
      <c r="Q1034" s="23"/>
      <c r="R1034" s="24"/>
      <c r="U1034" t="s">
        <v>134</v>
      </c>
      <c r="X1034" t="s">
        <v>135</v>
      </c>
      <c r="Y1034" t="s">
        <v>136</v>
      </c>
      <c r="AA1034" t="s">
        <v>136</v>
      </c>
      <c r="AB1034" t="s">
        <v>137</v>
      </c>
      <c r="AC1034" t="s">
        <v>138</v>
      </c>
      <c r="AD1034" t="s">
        <v>139</v>
      </c>
    </row>
    <row r="1035" spans="1:31" ht="22.15" customHeight="1">
      <c r="A1035" s="12">
        <v>691</v>
      </c>
      <c r="B1035" s="12"/>
      <c r="C1035" s="13"/>
      <c r="D1035" s="13"/>
      <c r="E1035" s="13"/>
      <c r="F1035" s="14"/>
      <c r="G1035" s="15"/>
      <c r="H1035" s="15"/>
      <c r="I1035" s="24"/>
      <c r="J1035" s="17"/>
      <c r="K1035" s="18"/>
      <c r="L1035" s="19"/>
      <c r="M1035" s="31"/>
      <c r="N1035" s="21"/>
      <c r="O1035" s="30"/>
      <c r="P1035" s="30"/>
      <c r="Q1035" s="23"/>
      <c r="R1035" s="24"/>
      <c r="U1035" t="s">
        <v>140</v>
      </c>
      <c r="V1035" t="s">
        <v>141</v>
      </c>
      <c r="W1035" t="s">
        <v>142</v>
      </c>
      <c r="X1035" t="s">
        <v>143</v>
      </c>
      <c r="Y1035" t="s">
        <v>144</v>
      </c>
      <c r="AA1035" t="s">
        <v>144</v>
      </c>
      <c r="AB1035" t="s">
        <v>145</v>
      </c>
      <c r="AC1035" t="s">
        <v>146</v>
      </c>
      <c r="AD1035" t="s">
        <v>147</v>
      </c>
    </row>
    <row r="1036" spans="1:31" ht="22.15" customHeight="1">
      <c r="A1036" s="12">
        <v>692</v>
      </c>
      <c r="B1036" s="12"/>
      <c r="C1036" s="13"/>
      <c r="D1036" s="13"/>
      <c r="E1036" s="13"/>
      <c r="F1036" s="14"/>
      <c r="G1036" s="15"/>
      <c r="H1036" s="15"/>
      <c r="I1036" s="24"/>
      <c r="J1036" s="17"/>
      <c r="K1036" s="18"/>
      <c r="L1036" s="19"/>
      <c r="M1036" s="31"/>
      <c r="N1036" s="21"/>
      <c r="O1036" s="30"/>
      <c r="P1036" s="30"/>
      <c r="Q1036" s="23"/>
      <c r="R1036" s="24"/>
      <c r="V1036" t="s">
        <v>148</v>
      </c>
    </row>
    <row r="1037" spans="1:31" ht="22.15" customHeight="1">
      <c r="A1037" s="12">
        <v>693</v>
      </c>
      <c r="B1037" s="12"/>
      <c r="C1037" s="13"/>
      <c r="D1037" s="13"/>
      <c r="E1037" s="13"/>
      <c r="F1037" s="14"/>
      <c r="G1037" s="15"/>
      <c r="H1037" s="15"/>
      <c r="I1037" s="24"/>
      <c r="J1037" s="17"/>
      <c r="K1037" s="18"/>
      <c r="L1037" s="19"/>
      <c r="M1037" s="31"/>
      <c r="N1037" s="21"/>
      <c r="O1037" s="30"/>
      <c r="P1037" s="30"/>
      <c r="Q1037" s="23"/>
      <c r="R1037" s="24"/>
      <c r="U1037" t="s">
        <v>149</v>
      </c>
      <c r="W1037" t="s">
        <v>150</v>
      </c>
      <c r="X1037" t="s">
        <v>151</v>
      </c>
      <c r="Y1037" t="s">
        <v>127</v>
      </c>
      <c r="AA1037" t="s">
        <v>129</v>
      </c>
      <c r="AB1037" t="s">
        <v>130</v>
      </c>
      <c r="AC1037" t="s">
        <v>78</v>
      </c>
      <c r="AD1037" t="s">
        <v>152</v>
      </c>
    </row>
    <row r="1038" spans="1:31" ht="22.15" customHeight="1">
      <c r="A1038" s="12">
        <v>694</v>
      </c>
      <c r="B1038" s="12"/>
      <c r="C1038" s="13"/>
      <c r="D1038" s="13"/>
      <c r="E1038" s="13"/>
      <c r="F1038" s="14"/>
      <c r="G1038" s="15"/>
      <c r="H1038" s="15"/>
      <c r="I1038" s="24"/>
      <c r="J1038" s="17"/>
      <c r="K1038" s="18"/>
      <c r="L1038" s="19"/>
      <c r="M1038" s="31"/>
      <c r="N1038" s="21"/>
      <c r="O1038" s="30"/>
      <c r="P1038" s="30"/>
      <c r="Q1038" s="23"/>
      <c r="R1038" s="24"/>
      <c r="U1038" t="s">
        <v>153</v>
      </c>
      <c r="V1038" t="s">
        <v>154</v>
      </c>
      <c r="W1038" t="s">
        <v>155</v>
      </c>
      <c r="X1038" t="s">
        <v>156</v>
      </c>
      <c r="Y1038" t="s">
        <v>135</v>
      </c>
      <c r="AA1038" t="s">
        <v>137</v>
      </c>
      <c r="AB1038" t="s">
        <v>138</v>
      </c>
      <c r="AC1038" t="s">
        <v>86</v>
      </c>
      <c r="AD1038" t="s">
        <v>157</v>
      </c>
    </row>
    <row r="1039" spans="1:31" ht="22.15" customHeight="1">
      <c r="A1039" s="12">
        <v>695</v>
      </c>
      <c r="B1039" s="12"/>
      <c r="C1039" s="13"/>
      <c r="D1039" s="13"/>
      <c r="E1039" s="13"/>
      <c r="F1039" s="14"/>
      <c r="G1039" s="15"/>
      <c r="H1039" s="15"/>
      <c r="I1039" s="24"/>
      <c r="J1039" s="17"/>
      <c r="K1039" s="18"/>
      <c r="L1039" s="19"/>
      <c r="M1039" s="31"/>
      <c r="N1039" s="21"/>
      <c r="O1039" s="30"/>
      <c r="P1039" s="30"/>
      <c r="Q1039" s="23"/>
      <c r="R1039" s="24"/>
      <c r="U1039" t="s">
        <v>158</v>
      </c>
      <c r="V1039" t="s">
        <v>159</v>
      </c>
      <c r="X1039" t="s">
        <v>160</v>
      </c>
      <c r="Y1039" t="s">
        <v>143</v>
      </c>
      <c r="AA1039" t="s">
        <v>145</v>
      </c>
      <c r="AB1039" t="s">
        <v>146</v>
      </c>
      <c r="AC1039" t="s">
        <v>96</v>
      </c>
      <c r="AD1039" t="s">
        <v>161</v>
      </c>
    </row>
    <row r="1040" spans="1:31" ht="22.15" customHeight="1">
      <c r="A1040" s="12">
        <v>696</v>
      </c>
      <c r="B1040" s="12"/>
      <c r="C1040" s="13"/>
      <c r="D1040" s="13"/>
      <c r="E1040" s="13"/>
      <c r="F1040" s="14"/>
      <c r="G1040" s="15"/>
      <c r="H1040" s="15"/>
      <c r="I1040" s="24"/>
      <c r="J1040" s="17"/>
      <c r="K1040" s="18"/>
      <c r="L1040" s="19"/>
      <c r="M1040" s="31"/>
      <c r="N1040" s="21"/>
      <c r="O1040" s="30"/>
      <c r="P1040" s="30"/>
      <c r="Q1040" s="23"/>
      <c r="R1040" s="24"/>
      <c r="V1040" t="s">
        <v>162</v>
      </c>
      <c r="W1040" t="s">
        <v>163</v>
      </c>
    </row>
    <row r="1041" spans="1:30" ht="22.15" customHeight="1">
      <c r="A1041" s="12">
        <v>697</v>
      </c>
      <c r="B1041" s="12"/>
      <c r="C1041" s="13"/>
      <c r="D1041" s="13"/>
      <c r="E1041" s="13"/>
      <c r="F1041" s="14"/>
      <c r="G1041" s="15"/>
      <c r="H1041" s="15"/>
      <c r="I1041" s="24"/>
      <c r="J1041" s="17"/>
      <c r="K1041" s="18"/>
      <c r="L1041" s="19"/>
      <c r="M1041" s="31"/>
      <c r="N1041" s="21"/>
      <c r="O1041" s="30"/>
      <c r="P1041" s="30"/>
      <c r="Q1041" s="23"/>
      <c r="R1041" s="24"/>
      <c r="U1041" t="s">
        <v>164</v>
      </c>
      <c r="W1041" t="s">
        <v>165</v>
      </c>
      <c r="X1041" t="s">
        <v>166</v>
      </c>
      <c r="Y1041" t="s">
        <v>151</v>
      </c>
      <c r="AA1041" t="s">
        <v>151</v>
      </c>
      <c r="AB1041" t="s">
        <v>167</v>
      </c>
      <c r="AC1041" t="s">
        <v>168</v>
      </c>
      <c r="AD1041" t="s">
        <v>169</v>
      </c>
    </row>
    <row r="1042" spans="1:30" ht="22.15" customHeight="1">
      <c r="A1042" s="12">
        <v>698</v>
      </c>
      <c r="B1042" s="12"/>
      <c r="C1042" s="13"/>
      <c r="D1042" s="13"/>
      <c r="E1042" s="13"/>
      <c r="F1042" s="14"/>
      <c r="G1042" s="15"/>
      <c r="H1042" s="15"/>
      <c r="I1042" s="24"/>
      <c r="J1042" s="17"/>
      <c r="K1042" s="18"/>
      <c r="L1042" s="19"/>
      <c r="M1042" s="31"/>
      <c r="N1042" s="21"/>
      <c r="O1042" s="30"/>
      <c r="P1042" s="30"/>
      <c r="Q1042" s="23"/>
      <c r="R1042" s="24"/>
      <c r="U1042" t="s">
        <v>170</v>
      </c>
      <c r="V1042" t="s">
        <v>171</v>
      </c>
      <c r="W1042" t="s">
        <v>172</v>
      </c>
      <c r="Y1042" t="s">
        <v>156</v>
      </c>
      <c r="AA1042" t="s">
        <v>156</v>
      </c>
      <c r="AB1042" t="s">
        <v>173</v>
      </c>
      <c r="AC1042" t="s">
        <v>174</v>
      </c>
      <c r="AD1042" t="s">
        <v>175</v>
      </c>
    </row>
    <row r="1043" spans="1:30" ht="22.15" customHeight="1">
      <c r="A1043" s="12">
        <v>699</v>
      </c>
      <c r="B1043" s="12"/>
      <c r="C1043" s="13"/>
      <c r="D1043" s="13"/>
      <c r="E1043" s="13"/>
      <c r="F1043" s="14"/>
      <c r="G1043" s="15"/>
      <c r="H1043" s="15"/>
      <c r="I1043" s="24"/>
      <c r="J1043" s="17"/>
      <c r="K1043" s="18"/>
      <c r="L1043" s="19"/>
      <c r="M1043" s="31"/>
      <c r="N1043" s="21"/>
      <c r="O1043" s="30"/>
      <c r="P1043" s="30"/>
      <c r="Q1043" s="23"/>
      <c r="R1043" s="24"/>
      <c r="U1043" t="s">
        <v>176</v>
      </c>
      <c r="V1043" t="s">
        <v>177</v>
      </c>
      <c r="X1043" t="s">
        <v>178</v>
      </c>
      <c r="Y1043" t="s">
        <v>160</v>
      </c>
      <c r="AA1043" t="s">
        <v>160</v>
      </c>
      <c r="AB1043" t="s">
        <v>179</v>
      </c>
      <c r="AC1043" t="s">
        <v>180</v>
      </c>
      <c r="AD1043" t="s">
        <v>181</v>
      </c>
    </row>
    <row r="1044" spans="1:30" ht="22.15" customHeight="1">
      <c r="A1044" s="12">
        <v>700</v>
      </c>
      <c r="B1044" s="12"/>
      <c r="C1044" s="13"/>
      <c r="D1044" s="13"/>
      <c r="E1044" s="13"/>
      <c r="F1044" s="14"/>
      <c r="G1044" s="15"/>
      <c r="H1044" s="15"/>
      <c r="I1044" s="24"/>
      <c r="J1044" s="17"/>
      <c r="K1044" s="18"/>
      <c r="L1044" s="19"/>
      <c r="M1044" s="31"/>
      <c r="N1044" s="21"/>
      <c r="O1044" s="30"/>
      <c r="P1044" s="30"/>
      <c r="Q1044" s="23"/>
      <c r="R1044" s="24"/>
      <c r="V1044" t="s">
        <v>184</v>
      </c>
      <c r="W1044" t="s">
        <v>185</v>
      </c>
      <c r="X1044" t="s">
        <v>186</v>
      </c>
    </row>
    <row r="1045" spans="1:30" ht="18" customHeight="1">
      <c r="A1045" s="47" t="s">
        <v>302</v>
      </c>
      <c r="B1045" s="48"/>
      <c r="C1045" s="48"/>
      <c r="D1045" s="48"/>
      <c r="E1045" s="49"/>
      <c r="F1045" s="50" t="s">
        <v>183</v>
      </c>
      <c r="G1045" s="51"/>
      <c r="H1045" s="51"/>
      <c r="I1045" s="51"/>
      <c r="J1045" s="51"/>
      <c r="K1045" s="51"/>
      <c r="L1045" s="51"/>
      <c r="M1045" s="51"/>
      <c r="N1045" s="51"/>
      <c r="O1045" s="51"/>
      <c r="P1045" s="51"/>
      <c r="Q1045" s="51"/>
      <c r="R1045" s="52"/>
      <c r="U1045" t="s">
        <v>320</v>
      </c>
      <c r="W1045" t="s">
        <v>321</v>
      </c>
      <c r="X1045" t="s">
        <v>322</v>
      </c>
      <c r="Y1045" t="s">
        <v>323</v>
      </c>
      <c r="AA1045" s="16" t="s">
        <v>167</v>
      </c>
      <c r="AB1045" s="16" t="s">
        <v>168</v>
      </c>
      <c r="AC1045" s="16" t="s">
        <v>131</v>
      </c>
      <c r="AD1045" s="16" t="s">
        <v>253</v>
      </c>
    </row>
    <row r="1046" spans="1:30" ht="18" customHeight="1">
      <c r="A1046" s="12">
        <v>1</v>
      </c>
      <c r="B1046" s="47" t="s">
        <v>187</v>
      </c>
      <c r="C1046" s="48"/>
      <c r="D1046" s="48"/>
      <c r="E1046" s="48"/>
      <c r="F1046" s="48"/>
      <c r="G1046" s="48"/>
      <c r="H1046" s="48"/>
      <c r="I1046" s="48"/>
      <c r="J1046" s="48"/>
      <c r="K1046" s="48"/>
      <c r="L1046" s="48"/>
      <c r="M1046" s="48"/>
      <c r="N1046" s="48"/>
      <c r="O1046" s="48"/>
      <c r="P1046" s="48"/>
      <c r="Q1046" s="48"/>
      <c r="R1046" s="49"/>
      <c r="AA1046" s="27" t="s">
        <v>188</v>
      </c>
      <c r="AB1046" s="27" t="s">
        <v>189</v>
      </c>
      <c r="AC1046" s="27" t="s">
        <v>190</v>
      </c>
    </row>
    <row r="1047" spans="1:30" ht="18" customHeight="1">
      <c r="A1047" s="23">
        <v>2</v>
      </c>
      <c r="B1047" s="53" t="s">
        <v>191</v>
      </c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  <c r="O1047" s="54"/>
      <c r="P1047" s="54"/>
      <c r="Q1047" s="54"/>
      <c r="R1047" s="55"/>
      <c r="U1047" t="s">
        <v>192</v>
      </c>
      <c r="V1047" s="16" t="s">
        <v>193</v>
      </c>
      <c r="W1047" t="s">
        <v>194</v>
      </c>
      <c r="Y1047" t="s">
        <v>195</v>
      </c>
      <c r="AA1047" s="16" t="s">
        <v>173</v>
      </c>
      <c r="AB1047" s="16" t="s">
        <v>174</v>
      </c>
      <c r="AC1047" s="16" t="s">
        <v>139</v>
      </c>
      <c r="AD1047" s="16" t="s">
        <v>196</v>
      </c>
    </row>
    <row r="1048" spans="1:30" ht="18" customHeight="1">
      <c r="A1048" s="23">
        <v>3</v>
      </c>
      <c r="B1048" s="47" t="s">
        <v>197</v>
      </c>
      <c r="C1048" s="48"/>
      <c r="D1048" s="48"/>
      <c r="E1048" s="48"/>
      <c r="F1048" s="48"/>
      <c r="G1048" s="48"/>
      <c r="H1048" s="48"/>
      <c r="I1048" s="48"/>
      <c r="J1048" s="48"/>
      <c r="K1048" s="48"/>
      <c r="L1048" s="48"/>
      <c r="M1048" s="48"/>
      <c r="N1048" s="48"/>
      <c r="O1048" s="48"/>
      <c r="P1048" s="48"/>
      <c r="Q1048" s="48"/>
      <c r="R1048" s="49"/>
      <c r="V1048" s="16" t="s">
        <v>198</v>
      </c>
      <c r="X1048" s="16" t="s">
        <v>199</v>
      </c>
      <c r="Y1048" t="s">
        <v>200</v>
      </c>
      <c r="AA1048" s="16" t="s">
        <v>179</v>
      </c>
      <c r="AB1048" s="16" t="s">
        <v>180</v>
      </c>
      <c r="AC1048" s="16" t="s">
        <v>147</v>
      </c>
      <c r="AD1048" s="16" t="s">
        <v>201</v>
      </c>
    </row>
    <row r="1049" spans="1:30" ht="18" customHeight="1">
      <c r="A1049" s="37" t="s">
        <v>202</v>
      </c>
      <c r="B1049" s="38"/>
      <c r="C1049" s="39">
        <f>C719</f>
        <v>0</v>
      </c>
      <c r="D1049" s="39"/>
      <c r="E1049" s="37" t="s">
        <v>203</v>
      </c>
      <c r="F1049" s="40"/>
      <c r="G1049" s="41">
        <f>G719</f>
        <v>0</v>
      </c>
      <c r="H1049" s="42"/>
      <c r="I1049" s="42"/>
      <c r="J1049" s="42"/>
      <c r="K1049" s="28" t="s">
        <v>204</v>
      </c>
      <c r="L1049" s="43" t="s">
        <v>205</v>
      </c>
      <c r="M1049" s="43"/>
      <c r="N1049" s="43"/>
      <c r="O1049" s="43"/>
      <c r="P1049" s="43"/>
      <c r="Q1049" s="43"/>
      <c r="R1049" s="43"/>
      <c r="U1049" t="s">
        <v>206</v>
      </c>
      <c r="W1049" s="16" t="s">
        <v>207</v>
      </c>
      <c r="X1049" s="16" t="s">
        <v>208</v>
      </c>
    </row>
    <row r="1050" spans="1:30" ht="18" customHeight="1">
      <c r="A1050" s="37" t="s">
        <v>209</v>
      </c>
      <c r="B1050" s="38"/>
      <c r="C1050" s="39">
        <f>C720</f>
        <v>0</v>
      </c>
      <c r="D1050" s="39"/>
      <c r="E1050" s="37" t="s">
        <v>210</v>
      </c>
      <c r="F1050" s="40"/>
      <c r="G1050" s="41">
        <f>G720</f>
        <v>0</v>
      </c>
      <c r="H1050" s="42"/>
      <c r="I1050" s="42"/>
      <c r="J1050" s="42"/>
      <c r="K1050" s="28" t="s">
        <v>204</v>
      </c>
      <c r="L1050" s="43" t="s">
        <v>205</v>
      </c>
      <c r="M1050" s="43"/>
      <c r="N1050" s="43"/>
      <c r="O1050" s="43"/>
      <c r="P1050" s="43"/>
      <c r="Q1050" s="43"/>
      <c r="R1050" s="43"/>
      <c r="V1050" s="16" t="s">
        <v>211</v>
      </c>
      <c r="W1050" s="16" t="s">
        <v>212</v>
      </c>
      <c r="Y1050" t="s">
        <v>213</v>
      </c>
      <c r="AA1050" s="16" t="s">
        <v>214</v>
      </c>
      <c r="AB1050" s="16" t="s">
        <v>214</v>
      </c>
      <c r="AC1050" s="16" t="s">
        <v>215</v>
      </c>
      <c r="AD1050" s="16" t="s">
        <v>216</v>
      </c>
    </row>
  </sheetData>
  <mergeCells count="1120">
    <mergeCell ref="A1:K1"/>
    <mergeCell ref="L1:P1"/>
    <mergeCell ref="B2:D2"/>
    <mergeCell ref="F2:F4"/>
    <mergeCell ref="G2:G4"/>
    <mergeCell ref="H2:H4"/>
    <mergeCell ref="I2:I4"/>
    <mergeCell ref="J2:J4"/>
    <mergeCell ref="K2:K4"/>
    <mergeCell ref="L2:L4"/>
    <mergeCell ref="A29:B29"/>
    <mergeCell ref="C29:D29"/>
    <mergeCell ref="E29:F29"/>
    <mergeCell ref="G29:J29"/>
    <mergeCell ref="L29:R29"/>
    <mergeCell ref="A30:B30"/>
    <mergeCell ref="C30:D30"/>
    <mergeCell ref="E30:F30"/>
    <mergeCell ref="G30:J30"/>
    <mergeCell ref="L30:R30"/>
    <mergeCell ref="B3:E3"/>
    <mergeCell ref="A25:E25"/>
    <mergeCell ref="F25:R25"/>
    <mergeCell ref="B26:R26"/>
    <mergeCell ref="B27:R27"/>
    <mergeCell ref="B28:R28"/>
    <mergeCell ref="M2:M4"/>
    <mergeCell ref="N2:N4"/>
    <mergeCell ref="O2:O4"/>
    <mergeCell ref="P2:P4"/>
    <mergeCell ref="Q2:Q4"/>
    <mergeCell ref="R2:R4"/>
    <mergeCell ref="B33:E33"/>
    <mergeCell ref="A55:E55"/>
    <mergeCell ref="F55:R55"/>
    <mergeCell ref="B56:R56"/>
    <mergeCell ref="B57:R57"/>
    <mergeCell ref="B58:R58"/>
    <mergeCell ref="M32:M34"/>
    <mergeCell ref="N32:N34"/>
    <mergeCell ref="O32:O34"/>
    <mergeCell ref="P32:P34"/>
    <mergeCell ref="Q32:Q34"/>
    <mergeCell ref="R32:R34"/>
    <mergeCell ref="A31:K31"/>
    <mergeCell ref="L31:P31"/>
    <mergeCell ref="B32:D32"/>
    <mergeCell ref="F32:F34"/>
    <mergeCell ref="G32:G34"/>
    <mergeCell ref="H32:H34"/>
    <mergeCell ref="I32:I34"/>
    <mergeCell ref="J32:J34"/>
    <mergeCell ref="K32:K34"/>
    <mergeCell ref="L32:L34"/>
    <mergeCell ref="A61:K61"/>
    <mergeCell ref="L61:P61"/>
    <mergeCell ref="B62:D62"/>
    <mergeCell ref="F62:F64"/>
    <mergeCell ref="G62:G64"/>
    <mergeCell ref="H62:H64"/>
    <mergeCell ref="I62:I64"/>
    <mergeCell ref="J62:J64"/>
    <mergeCell ref="K62:K64"/>
    <mergeCell ref="L62:L64"/>
    <mergeCell ref="A59:B59"/>
    <mergeCell ref="C59:D59"/>
    <mergeCell ref="E59:F59"/>
    <mergeCell ref="G59:J59"/>
    <mergeCell ref="L59:R59"/>
    <mergeCell ref="A60:B60"/>
    <mergeCell ref="C60:D60"/>
    <mergeCell ref="E60:F60"/>
    <mergeCell ref="G60:J60"/>
    <mergeCell ref="L60:R60"/>
    <mergeCell ref="A89:B89"/>
    <mergeCell ref="C89:D89"/>
    <mergeCell ref="E89:F89"/>
    <mergeCell ref="G89:J89"/>
    <mergeCell ref="L89:R89"/>
    <mergeCell ref="A90:B90"/>
    <mergeCell ref="C90:D90"/>
    <mergeCell ref="E90:F90"/>
    <mergeCell ref="G90:J90"/>
    <mergeCell ref="L90:R90"/>
    <mergeCell ref="B63:E63"/>
    <mergeCell ref="A85:E85"/>
    <mergeCell ref="F85:R85"/>
    <mergeCell ref="B86:R86"/>
    <mergeCell ref="B87:R87"/>
    <mergeCell ref="B88:R88"/>
    <mergeCell ref="M62:M64"/>
    <mergeCell ref="N62:N64"/>
    <mergeCell ref="O62:O64"/>
    <mergeCell ref="P62:P64"/>
    <mergeCell ref="Q62:Q64"/>
    <mergeCell ref="R62:R64"/>
    <mergeCell ref="B93:E93"/>
    <mergeCell ref="A115:E115"/>
    <mergeCell ref="F115:R115"/>
    <mergeCell ref="B116:R116"/>
    <mergeCell ref="B117:R117"/>
    <mergeCell ref="B118:R118"/>
    <mergeCell ref="M92:M94"/>
    <mergeCell ref="N92:N94"/>
    <mergeCell ref="O92:O94"/>
    <mergeCell ref="P92:P94"/>
    <mergeCell ref="Q92:Q94"/>
    <mergeCell ref="R92:R94"/>
    <mergeCell ref="A91:K91"/>
    <mergeCell ref="L91:P91"/>
    <mergeCell ref="B92:D92"/>
    <mergeCell ref="F92:F94"/>
    <mergeCell ref="G92:G94"/>
    <mergeCell ref="H92:H94"/>
    <mergeCell ref="I92:I94"/>
    <mergeCell ref="J92:J94"/>
    <mergeCell ref="K92:K94"/>
    <mergeCell ref="L92:L94"/>
    <mergeCell ref="A121:K121"/>
    <mergeCell ref="L121:P121"/>
    <mergeCell ref="B122:D122"/>
    <mergeCell ref="F122:F124"/>
    <mergeCell ref="G122:G124"/>
    <mergeCell ref="H122:H124"/>
    <mergeCell ref="I122:I124"/>
    <mergeCell ref="J122:J124"/>
    <mergeCell ref="K122:K124"/>
    <mergeCell ref="L122:L124"/>
    <mergeCell ref="A119:B119"/>
    <mergeCell ref="C119:D119"/>
    <mergeCell ref="E119:F119"/>
    <mergeCell ref="G119:J119"/>
    <mergeCell ref="L119:R119"/>
    <mergeCell ref="A120:B120"/>
    <mergeCell ref="C120:D120"/>
    <mergeCell ref="E120:F120"/>
    <mergeCell ref="G120:J120"/>
    <mergeCell ref="L120:R120"/>
    <mergeCell ref="A149:B149"/>
    <mergeCell ref="C149:D149"/>
    <mergeCell ref="E149:F149"/>
    <mergeCell ref="G149:J149"/>
    <mergeCell ref="L149:R149"/>
    <mergeCell ref="A150:B150"/>
    <mergeCell ref="C150:D150"/>
    <mergeCell ref="E150:F150"/>
    <mergeCell ref="G150:J150"/>
    <mergeCell ref="L150:R150"/>
    <mergeCell ref="B123:E123"/>
    <mergeCell ref="A145:E145"/>
    <mergeCell ref="F145:R145"/>
    <mergeCell ref="B146:R146"/>
    <mergeCell ref="B147:R147"/>
    <mergeCell ref="B148:R148"/>
    <mergeCell ref="M122:M124"/>
    <mergeCell ref="N122:N124"/>
    <mergeCell ref="O122:O124"/>
    <mergeCell ref="P122:P124"/>
    <mergeCell ref="Q122:Q124"/>
    <mergeCell ref="R122:R124"/>
    <mergeCell ref="B153:E153"/>
    <mergeCell ref="A175:E175"/>
    <mergeCell ref="F175:R175"/>
    <mergeCell ref="B176:R176"/>
    <mergeCell ref="B177:R177"/>
    <mergeCell ref="B178:R178"/>
    <mergeCell ref="M152:M154"/>
    <mergeCell ref="N152:N154"/>
    <mergeCell ref="O152:O154"/>
    <mergeCell ref="P152:P154"/>
    <mergeCell ref="Q152:Q154"/>
    <mergeCell ref="R152:R154"/>
    <mergeCell ref="A151:K151"/>
    <mergeCell ref="L151:P151"/>
    <mergeCell ref="B152:D152"/>
    <mergeCell ref="F152:F154"/>
    <mergeCell ref="G152:G154"/>
    <mergeCell ref="H152:H154"/>
    <mergeCell ref="I152:I154"/>
    <mergeCell ref="J152:J154"/>
    <mergeCell ref="K152:K154"/>
    <mergeCell ref="L152:L154"/>
    <mergeCell ref="A181:K181"/>
    <mergeCell ref="L181:P181"/>
    <mergeCell ref="B182:D182"/>
    <mergeCell ref="F182:F184"/>
    <mergeCell ref="G182:G184"/>
    <mergeCell ref="H182:H184"/>
    <mergeCell ref="I182:I184"/>
    <mergeCell ref="J182:J184"/>
    <mergeCell ref="K182:K184"/>
    <mergeCell ref="L182:L184"/>
    <mergeCell ref="A179:B179"/>
    <mergeCell ref="C179:D179"/>
    <mergeCell ref="E179:F179"/>
    <mergeCell ref="G179:J179"/>
    <mergeCell ref="L179:R179"/>
    <mergeCell ref="A180:B180"/>
    <mergeCell ref="C180:D180"/>
    <mergeCell ref="E180:F180"/>
    <mergeCell ref="G180:J180"/>
    <mergeCell ref="L180:R180"/>
    <mergeCell ref="A209:B209"/>
    <mergeCell ref="C209:D209"/>
    <mergeCell ref="E209:F209"/>
    <mergeCell ref="G209:J209"/>
    <mergeCell ref="L209:R209"/>
    <mergeCell ref="A210:B210"/>
    <mergeCell ref="C210:D210"/>
    <mergeCell ref="E210:F210"/>
    <mergeCell ref="G210:J210"/>
    <mergeCell ref="L210:R210"/>
    <mergeCell ref="B183:E183"/>
    <mergeCell ref="A205:E205"/>
    <mergeCell ref="F205:R205"/>
    <mergeCell ref="B206:R206"/>
    <mergeCell ref="B207:R207"/>
    <mergeCell ref="B208:R208"/>
    <mergeCell ref="M182:M184"/>
    <mergeCell ref="N182:N184"/>
    <mergeCell ref="O182:O184"/>
    <mergeCell ref="P182:P184"/>
    <mergeCell ref="Q182:Q184"/>
    <mergeCell ref="R182:R184"/>
    <mergeCell ref="B213:E213"/>
    <mergeCell ref="A235:E235"/>
    <mergeCell ref="F235:R235"/>
    <mergeCell ref="B236:R236"/>
    <mergeCell ref="B237:R237"/>
    <mergeCell ref="B238:R238"/>
    <mergeCell ref="M212:M214"/>
    <mergeCell ref="N212:N214"/>
    <mergeCell ref="O212:O214"/>
    <mergeCell ref="P212:P214"/>
    <mergeCell ref="Q212:Q214"/>
    <mergeCell ref="R212:R214"/>
    <mergeCell ref="A211:K211"/>
    <mergeCell ref="L211:P211"/>
    <mergeCell ref="B212:D212"/>
    <mergeCell ref="F212:F214"/>
    <mergeCell ref="G212:G214"/>
    <mergeCell ref="H212:H214"/>
    <mergeCell ref="I212:I214"/>
    <mergeCell ref="J212:J214"/>
    <mergeCell ref="K212:K214"/>
    <mergeCell ref="L212:L214"/>
    <mergeCell ref="A241:K241"/>
    <mergeCell ref="L241:P241"/>
    <mergeCell ref="B242:D242"/>
    <mergeCell ref="F242:F244"/>
    <mergeCell ref="G242:G244"/>
    <mergeCell ref="H242:H244"/>
    <mergeCell ref="I242:I244"/>
    <mergeCell ref="J242:J244"/>
    <mergeCell ref="K242:K244"/>
    <mergeCell ref="L242:L244"/>
    <mergeCell ref="A239:B239"/>
    <mergeCell ref="C239:D239"/>
    <mergeCell ref="E239:F239"/>
    <mergeCell ref="G239:J239"/>
    <mergeCell ref="L239:R239"/>
    <mergeCell ref="A240:B240"/>
    <mergeCell ref="C240:D240"/>
    <mergeCell ref="E240:F240"/>
    <mergeCell ref="G240:J240"/>
    <mergeCell ref="L240:R240"/>
    <mergeCell ref="A269:B269"/>
    <mergeCell ref="C269:D269"/>
    <mergeCell ref="E269:F269"/>
    <mergeCell ref="G269:J269"/>
    <mergeCell ref="L269:R269"/>
    <mergeCell ref="A270:B270"/>
    <mergeCell ref="C270:D270"/>
    <mergeCell ref="E270:F270"/>
    <mergeCell ref="G270:J270"/>
    <mergeCell ref="L270:R270"/>
    <mergeCell ref="B243:E243"/>
    <mergeCell ref="A265:E265"/>
    <mergeCell ref="F265:R265"/>
    <mergeCell ref="B266:R266"/>
    <mergeCell ref="B267:R267"/>
    <mergeCell ref="B268:R268"/>
    <mergeCell ref="M242:M244"/>
    <mergeCell ref="N242:N244"/>
    <mergeCell ref="O242:O244"/>
    <mergeCell ref="P242:P244"/>
    <mergeCell ref="Q242:Q244"/>
    <mergeCell ref="R242:R244"/>
    <mergeCell ref="B273:E273"/>
    <mergeCell ref="A295:E295"/>
    <mergeCell ref="F295:R295"/>
    <mergeCell ref="B296:R296"/>
    <mergeCell ref="B297:R297"/>
    <mergeCell ref="B298:R298"/>
    <mergeCell ref="M272:M274"/>
    <mergeCell ref="N272:N274"/>
    <mergeCell ref="O272:O274"/>
    <mergeCell ref="P272:P274"/>
    <mergeCell ref="Q272:Q274"/>
    <mergeCell ref="R272:R274"/>
    <mergeCell ref="A271:K271"/>
    <mergeCell ref="L271:P271"/>
    <mergeCell ref="B272:D272"/>
    <mergeCell ref="F272:F274"/>
    <mergeCell ref="G272:G274"/>
    <mergeCell ref="H272:H274"/>
    <mergeCell ref="I272:I274"/>
    <mergeCell ref="J272:J274"/>
    <mergeCell ref="K272:K274"/>
    <mergeCell ref="L272:L274"/>
    <mergeCell ref="A301:K301"/>
    <mergeCell ref="L301:P301"/>
    <mergeCell ref="B302:D302"/>
    <mergeCell ref="F302:F304"/>
    <mergeCell ref="G302:G304"/>
    <mergeCell ref="H302:H304"/>
    <mergeCell ref="I302:I304"/>
    <mergeCell ref="J302:J304"/>
    <mergeCell ref="K302:K304"/>
    <mergeCell ref="L302:L304"/>
    <mergeCell ref="A299:B299"/>
    <mergeCell ref="C299:D299"/>
    <mergeCell ref="E299:F299"/>
    <mergeCell ref="G299:J299"/>
    <mergeCell ref="L299:R299"/>
    <mergeCell ref="A300:B300"/>
    <mergeCell ref="C300:D300"/>
    <mergeCell ref="E300:F300"/>
    <mergeCell ref="G300:J300"/>
    <mergeCell ref="L300:R300"/>
    <mergeCell ref="A329:B329"/>
    <mergeCell ref="C329:D329"/>
    <mergeCell ref="E329:F329"/>
    <mergeCell ref="G329:J329"/>
    <mergeCell ref="L329:R329"/>
    <mergeCell ref="A330:B330"/>
    <mergeCell ref="C330:D330"/>
    <mergeCell ref="E330:F330"/>
    <mergeCell ref="G330:J330"/>
    <mergeCell ref="L330:R330"/>
    <mergeCell ref="B303:E303"/>
    <mergeCell ref="A325:E325"/>
    <mergeCell ref="F325:R325"/>
    <mergeCell ref="B326:R326"/>
    <mergeCell ref="B327:R327"/>
    <mergeCell ref="B328:R328"/>
    <mergeCell ref="M302:M304"/>
    <mergeCell ref="N302:N304"/>
    <mergeCell ref="O302:O304"/>
    <mergeCell ref="P302:P304"/>
    <mergeCell ref="Q302:Q304"/>
    <mergeCell ref="R302:R304"/>
    <mergeCell ref="B333:E333"/>
    <mergeCell ref="A355:E355"/>
    <mergeCell ref="F355:R355"/>
    <mergeCell ref="B356:R356"/>
    <mergeCell ref="B357:R357"/>
    <mergeCell ref="B358:R358"/>
    <mergeCell ref="M332:M334"/>
    <mergeCell ref="N332:N334"/>
    <mergeCell ref="O332:O334"/>
    <mergeCell ref="P332:P334"/>
    <mergeCell ref="Q332:Q334"/>
    <mergeCell ref="R332:R334"/>
    <mergeCell ref="A331:K331"/>
    <mergeCell ref="L331:P331"/>
    <mergeCell ref="B332:D332"/>
    <mergeCell ref="F332:F334"/>
    <mergeCell ref="G332:G334"/>
    <mergeCell ref="H332:H334"/>
    <mergeCell ref="I332:I334"/>
    <mergeCell ref="J332:J334"/>
    <mergeCell ref="K332:K334"/>
    <mergeCell ref="L332:L334"/>
    <mergeCell ref="A361:K361"/>
    <mergeCell ref="L361:P361"/>
    <mergeCell ref="B362:D362"/>
    <mergeCell ref="F362:F364"/>
    <mergeCell ref="G362:G364"/>
    <mergeCell ref="H362:H364"/>
    <mergeCell ref="I362:I364"/>
    <mergeCell ref="J362:J364"/>
    <mergeCell ref="K362:K364"/>
    <mergeCell ref="L362:L364"/>
    <mergeCell ref="A359:B359"/>
    <mergeCell ref="C359:D359"/>
    <mergeCell ref="E359:F359"/>
    <mergeCell ref="G359:J359"/>
    <mergeCell ref="L359:R359"/>
    <mergeCell ref="A360:B360"/>
    <mergeCell ref="C360:D360"/>
    <mergeCell ref="E360:F360"/>
    <mergeCell ref="G360:J360"/>
    <mergeCell ref="L360:R360"/>
    <mergeCell ref="A389:B389"/>
    <mergeCell ref="C389:D389"/>
    <mergeCell ref="E389:F389"/>
    <mergeCell ref="G389:J389"/>
    <mergeCell ref="L389:R389"/>
    <mergeCell ref="A390:B390"/>
    <mergeCell ref="C390:D390"/>
    <mergeCell ref="E390:F390"/>
    <mergeCell ref="G390:J390"/>
    <mergeCell ref="L390:R390"/>
    <mergeCell ref="B363:E363"/>
    <mergeCell ref="A385:E385"/>
    <mergeCell ref="F385:R385"/>
    <mergeCell ref="B386:R386"/>
    <mergeCell ref="B387:R387"/>
    <mergeCell ref="B388:R388"/>
    <mergeCell ref="M362:M364"/>
    <mergeCell ref="N362:N364"/>
    <mergeCell ref="O362:O364"/>
    <mergeCell ref="P362:P364"/>
    <mergeCell ref="Q362:Q364"/>
    <mergeCell ref="R362:R364"/>
    <mergeCell ref="B393:E393"/>
    <mergeCell ref="A415:E415"/>
    <mergeCell ref="F415:R415"/>
    <mergeCell ref="B416:R416"/>
    <mergeCell ref="B417:R417"/>
    <mergeCell ref="B418:R418"/>
    <mergeCell ref="M392:M394"/>
    <mergeCell ref="N392:N394"/>
    <mergeCell ref="O392:O394"/>
    <mergeCell ref="P392:P394"/>
    <mergeCell ref="Q392:Q394"/>
    <mergeCell ref="R392:R394"/>
    <mergeCell ref="A391:K391"/>
    <mergeCell ref="L391:P391"/>
    <mergeCell ref="B392:D392"/>
    <mergeCell ref="F392:F394"/>
    <mergeCell ref="G392:G394"/>
    <mergeCell ref="H392:H394"/>
    <mergeCell ref="I392:I394"/>
    <mergeCell ref="J392:J394"/>
    <mergeCell ref="K392:K394"/>
    <mergeCell ref="L392:L394"/>
    <mergeCell ref="A421:K421"/>
    <mergeCell ref="L421:P421"/>
    <mergeCell ref="B422:D422"/>
    <mergeCell ref="F422:F424"/>
    <mergeCell ref="G422:G424"/>
    <mergeCell ref="H422:H424"/>
    <mergeCell ref="I422:I424"/>
    <mergeCell ref="J422:J424"/>
    <mergeCell ref="K422:K424"/>
    <mergeCell ref="L422:L424"/>
    <mergeCell ref="A419:B419"/>
    <mergeCell ref="C419:D419"/>
    <mergeCell ref="E419:F419"/>
    <mergeCell ref="G419:J419"/>
    <mergeCell ref="L419:R419"/>
    <mergeCell ref="A420:B420"/>
    <mergeCell ref="C420:D420"/>
    <mergeCell ref="E420:F420"/>
    <mergeCell ref="G420:J420"/>
    <mergeCell ref="L420:R420"/>
    <mergeCell ref="A449:B449"/>
    <mergeCell ref="C449:D449"/>
    <mergeCell ref="E449:F449"/>
    <mergeCell ref="G449:J449"/>
    <mergeCell ref="L449:R449"/>
    <mergeCell ref="A450:B450"/>
    <mergeCell ref="C450:D450"/>
    <mergeCell ref="E450:F450"/>
    <mergeCell ref="G450:J450"/>
    <mergeCell ref="L450:R450"/>
    <mergeCell ref="B423:E423"/>
    <mergeCell ref="A445:E445"/>
    <mergeCell ref="F445:R445"/>
    <mergeCell ref="B446:R446"/>
    <mergeCell ref="B447:R447"/>
    <mergeCell ref="B448:R448"/>
    <mergeCell ref="M422:M424"/>
    <mergeCell ref="N422:N424"/>
    <mergeCell ref="O422:O424"/>
    <mergeCell ref="P422:P424"/>
    <mergeCell ref="Q422:Q424"/>
    <mergeCell ref="R422:R424"/>
    <mergeCell ref="B453:E453"/>
    <mergeCell ref="A475:E475"/>
    <mergeCell ref="F475:R475"/>
    <mergeCell ref="B476:R476"/>
    <mergeCell ref="B477:R477"/>
    <mergeCell ref="B478:R478"/>
    <mergeCell ref="M452:M454"/>
    <mergeCell ref="N452:N454"/>
    <mergeCell ref="O452:O454"/>
    <mergeCell ref="P452:P454"/>
    <mergeCell ref="Q452:Q454"/>
    <mergeCell ref="R452:R454"/>
    <mergeCell ref="A451:K451"/>
    <mergeCell ref="L451:P451"/>
    <mergeCell ref="B452:D452"/>
    <mergeCell ref="F452:F454"/>
    <mergeCell ref="G452:G454"/>
    <mergeCell ref="H452:H454"/>
    <mergeCell ref="I452:I454"/>
    <mergeCell ref="J452:J454"/>
    <mergeCell ref="K452:K454"/>
    <mergeCell ref="L452:L454"/>
    <mergeCell ref="A481:K481"/>
    <mergeCell ref="L481:P481"/>
    <mergeCell ref="B482:D482"/>
    <mergeCell ref="F482:F484"/>
    <mergeCell ref="G482:G484"/>
    <mergeCell ref="H482:H484"/>
    <mergeCell ref="I482:I484"/>
    <mergeCell ref="J482:J484"/>
    <mergeCell ref="K482:K484"/>
    <mergeCell ref="L482:L484"/>
    <mergeCell ref="A479:B479"/>
    <mergeCell ref="C479:D479"/>
    <mergeCell ref="E479:F479"/>
    <mergeCell ref="G479:J479"/>
    <mergeCell ref="L479:R479"/>
    <mergeCell ref="A480:B480"/>
    <mergeCell ref="C480:D480"/>
    <mergeCell ref="E480:F480"/>
    <mergeCell ref="G480:J480"/>
    <mergeCell ref="L480:R480"/>
    <mergeCell ref="A509:B509"/>
    <mergeCell ref="C509:D509"/>
    <mergeCell ref="E509:F509"/>
    <mergeCell ref="G509:J509"/>
    <mergeCell ref="L509:R509"/>
    <mergeCell ref="A510:B510"/>
    <mergeCell ref="C510:D510"/>
    <mergeCell ref="E510:F510"/>
    <mergeCell ref="G510:J510"/>
    <mergeCell ref="L510:R510"/>
    <mergeCell ref="B483:E483"/>
    <mergeCell ref="A505:E505"/>
    <mergeCell ref="F505:R505"/>
    <mergeCell ref="B506:R506"/>
    <mergeCell ref="B507:R507"/>
    <mergeCell ref="B508:R508"/>
    <mergeCell ref="M482:M484"/>
    <mergeCell ref="N482:N484"/>
    <mergeCell ref="O482:O484"/>
    <mergeCell ref="P482:P484"/>
    <mergeCell ref="Q482:Q484"/>
    <mergeCell ref="R482:R484"/>
    <mergeCell ref="B513:E513"/>
    <mergeCell ref="A535:E535"/>
    <mergeCell ref="F535:R535"/>
    <mergeCell ref="B536:R536"/>
    <mergeCell ref="B537:R537"/>
    <mergeCell ref="B538:R538"/>
    <mergeCell ref="M512:M514"/>
    <mergeCell ref="N512:N514"/>
    <mergeCell ref="O512:O514"/>
    <mergeCell ref="P512:P514"/>
    <mergeCell ref="Q512:Q514"/>
    <mergeCell ref="R512:R514"/>
    <mergeCell ref="A511:K511"/>
    <mergeCell ref="L511:P511"/>
    <mergeCell ref="B512:D512"/>
    <mergeCell ref="F512:F514"/>
    <mergeCell ref="G512:G514"/>
    <mergeCell ref="H512:H514"/>
    <mergeCell ref="I512:I514"/>
    <mergeCell ref="J512:J514"/>
    <mergeCell ref="K512:K514"/>
    <mergeCell ref="L512:L514"/>
    <mergeCell ref="A541:K541"/>
    <mergeCell ref="L541:P541"/>
    <mergeCell ref="B542:D542"/>
    <mergeCell ref="F542:F544"/>
    <mergeCell ref="G542:G544"/>
    <mergeCell ref="H542:H544"/>
    <mergeCell ref="I542:I544"/>
    <mergeCell ref="J542:J544"/>
    <mergeCell ref="K542:K544"/>
    <mergeCell ref="L542:L544"/>
    <mergeCell ref="A539:B539"/>
    <mergeCell ref="C539:D539"/>
    <mergeCell ref="E539:F539"/>
    <mergeCell ref="G539:J539"/>
    <mergeCell ref="L539:R539"/>
    <mergeCell ref="A540:B540"/>
    <mergeCell ref="C540:D540"/>
    <mergeCell ref="E540:F540"/>
    <mergeCell ref="G540:J540"/>
    <mergeCell ref="L540:R540"/>
    <mergeCell ref="A569:B569"/>
    <mergeCell ref="C569:D569"/>
    <mergeCell ref="E569:F569"/>
    <mergeCell ref="G569:J569"/>
    <mergeCell ref="L569:R569"/>
    <mergeCell ref="A570:B570"/>
    <mergeCell ref="C570:D570"/>
    <mergeCell ref="E570:F570"/>
    <mergeCell ref="G570:J570"/>
    <mergeCell ref="L570:R570"/>
    <mergeCell ref="B543:E543"/>
    <mergeCell ref="A565:E565"/>
    <mergeCell ref="F565:R565"/>
    <mergeCell ref="B566:R566"/>
    <mergeCell ref="B567:R567"/>
    <mergeCell ref="B568:R568"/>
    <mergeCell ref="M542:M544"/>
    <mergeCell ref="N542:N544"/>
    <mergeCell ref="O542:O544"/>
    <mergeCell ref="P542:P544"/>
    <mergeCell ref="Q542:Q544"/>
    <mergeCell ref="R542:R544"/>
    <mergeCell ref="B573:E573"/>
    <mergeCell ref="A595:E595"/>
    <mergeCell ref="F595:R595"/>
    <mergeCell ref="B596:R596"/>
    <mergeCell ref="B597:R597"/>
    <mergeCell ref="B598:R598"/>
    <mergeCell ref="M572:M574"/>
    <mergeCell ref="N572:N574"/>
    <mergeCell ref="O572:O574"/>
    <mergeCell ref="P572:P574"/>
    <mergeCell ref="Q572:Q574"/>
    <mergeCell ref="R572:R574"/>
    <mergeCell ref="A571:K571"/>
    <mergeCell ref="L571:P571"/>
    <mergeCell ref="B572:D572"/>
    <mergeCell ref="F572:F574"/>
    <mergeCell ref="G572:G574"/>
    <mergeCell ref="H572:H574"/>
    <mergeCell ref="I572:I574"/>
    <mergeCell ref="J572:J574"/>
    <mergeCell ref="K572:K574"/>
    <mergeCell ref="L572:L574"/>
    <mergeCell ref="A601:K601"/>
    <mergeCell ref="L601:P601"/>
    <mergeCell ref="B602:D602"/>
    <mergeCell ref="F602:F604"/>
    <mergeCell ref="G602:G604"/>
    <mergeCell ref="H602:H604"/>
    <mergeCell ref="I602:I604"/>
    <mergeCell ref="J602:J604"/>
    <mergeCell ref="K602:K604"/>
    <mergeCell ref="L602:L604"/>
    <mergeCell ref="A599:B599"/>
    <mergeCell ref="C599:D599"/>
    <mergeCell ref="E599:F599"/>
    <mergeCell ref="G599:J599"/>
    <mergeCell ref="L599:R599"/>
    <mergeCell ref="A600:B600"/>
    <mergeCell ref="C600:D600"/>
    <mergeCell ref="E600:F600"/>
    <mergeCell ref="G600:J600"/>
    <mergeCell ref="L600:R600"/>
    <mergeCell ref="A629:B629"/>
    <mergeCell ref="C629:D629"/>
    <mergeCell ref="E629:F629"/>
    <mergeCell ref="G629:J629"/>
    <mergeCell ref="L629:R629"/>
    <mergeCell ref="A630:B630"/>
    <mergeCell ref="C630:D630"/>
    <mergeCell ref="E630:F630"/>
    <mergeCell ref="G630:J630"/>
    <mergeCell ref="L630:R630"/>
    <mergeCell ref="B603:E603"/>
    <mergeCell ref="A625:E625"/>
    <mergeCell ref="F625:R625"/>
    <mergeCell ref="B626:R626"/>
    <mergeCell ref="B627:R627"/>
    <mergeCell ref="B628:R628"/>
    <mergeCell ref="M602:M604"/>
    <mergeCell ref="N602:N604"/>
    <mergeCell ref="O602:O604"/>
    <mergeCell ref="P602:P604"/>
    <mergeCell ref="Q602:Q604"/>
    <mergeCell ref="R602:R604"/>
    <mergeCell ref="B633:E633"/>
    <mergeCell ref="A655:E655"/>
    <mergeCell ref="F655:R655"/>
    <mergeCell ref="B656:R656"/>
    <mergeCell ref="B657:R657"/>
    <mergeCell ref="B658:R658"/>
    <mergeCell ref="M632:M634"/>
    <mergeCell ref="N632:N634"/>
    <mergeCell ref="O632:O634"/>
    <mergeCell ref="P632:P634"/>
    <mergeCell ref="Q632:Q634"/>
    <mergeCell ref="R632:R634"/>
    <mergeCell ref="A631:K631"/>
    <mergeCell ref="L631:P631"/>
    <mergeCell ref="B632:D632"/>
    <mergeCell ref="F632:F634"/>
    <mergeCell ref="G632:G634"/>
    <mergeCell ref="H632:H634"/>
    <mergeCell ref="I632:I634"/>
    <mergeCell ref="J632:J634"/>
    <mergeCell ref="K632:K634"/>
    <mergeCell ref="L632:L634"/>
    <mergeCell ref="A661:K661"/>
    <mergeCell ref="L661:P661"/>
    <mergeCell ref="B662:D662"/>
    <mergeCell ref="F662:F664"/>
    <mergeCell ref="G662:G664"/>
    <mergeCell ref="H662:H664"/>
    <mergeCell ref="I662:I664"/>
    <mergeCell ref="J662:J664"/>
    <mergeCell ref="K662:K664"/>
    <mergeCell ref="L662:L664"/>
    <mergeCell ref="A659:B659"/>
    <mergeCell ref="C659:D659"/>
    <mergeCell ref="E659:F659"/>
    <mergeCell ref="G659:J659"/>
    <mergeCell ref="L659:R659"/>
    <mergeCell ref="A660:B660"/>
    <mergeCell ref="C660:D660"/>
    <mergeCell ref="E660:F660"/>
    <mergeCell ref="G660:J660"/>
    <mergeCell ref="L660:R660"/>
    <mergeCell ref="A689:B689"/>
    <mergeCell ref="C689:D689"/>
    <mergeCell ref="E689:F689"/>
    <mergeCell ref="G689:J689"/>
    <mergeCell ref="L689:R689"/>
    <mergeCell ref="A690:B690"/>
    <mergeCell ref="C690:D690"/>
    <mergeCell ref="E690:F690"/>
    <mergeCell ref="G690:J690"/>
    <mergeCell ref="L690:R690"/>
    <mergeCell ref="B663:E663"/>
    <mergeCell ref="A685:E685"/>
    <mergeCell ref="F685:R685"/>
    <mergeCell ref="B686:R686"/>
    <mergeCell ref="B687:R687"/>
    <mergeCell ref="B688:R688"/>
    <mergeCell ref="M662:M664"/>
    <mergeCell ref="N662:N664"/>
    <mergeCell ref="O662:O664"/>
    <mergeCell ref="P662:P664"/>
    <mergeCell ref="Q662:Q664"/>
    <mergeCell ref="R662:R664"/>
    <mergeCell ref="B693:E693"/>
    <mergeCell ref="A715:E715"/>
    <mergeCell ref="F715:R715"/>
    <mergeCell ref="B716:R716"/>
    <mergeCell ref="B717:R717"/>
    <mergeCell ref="B718:R718"/>
    <mergeCell ref="M692:M694"/>
    <mergeCell ref="N692:N694"/>
    <mergeCell ref="O692:O694"/>
    <mergeCell ref="P692:P694"/>
    <mergeCell ref="Q692:Q694"/>
    <mergeCell ref="R692:R694"/>
    <mergeCell ref="A691:K691"/>
    <mergeCell ref="L691:P691"/>
    <mergeCell ref="B692:D692"/>
    <mergeCell ref="F692:F694"/>
    <mergeCell ref="G692:G694"/>
    <mergeCell ref="H692:H694"/>
    <mergeCell ref="I692:I694"/>
    <mergeCell ref="J692:J694"/>
    <mergeCell ref="K692:K694"/>
    <mergeCell ref="L692:L694"/>
    <mergeCell ref="A721:K721"/>
    <mergeCell ref="L721:P721"/>
    <mergeCell ref="B722:D722"/>
    <mergeCell ref="F722:F724"/>
    <mergeCell ref="G722:G724"/>
    <mergeCell ref="H722:H724"/>
    <mergeCell ref="I722:I724"/>
    <mergeCell ref="J722:J724"/>
    <mergeCell ref="K722:K724"/>
    <mergeCell ref="L722:L724"/>
    <mergeCell ref="A719:B719"/>
    <mergeCell ref="C719:D719"/>
    <mergeCell ref="E719:F719"/>
    <mergeCell ref="G719:J719"/>
    <mergeCell ref="L719:R719"/>
    <mergeCell ref="A720:B720"/>
    <mergeCell ref="C720:D720"/>
    <mergeCell ref="E720:F720"/>
    <mergeCell ref="G720:J720"/>
    <mergeCell ref="L720:R720"/>
    <mergeCell ref="A749:B749"/>
    <mergeCell ref="C749:D749"/>
    <mergeCell ref="E749:F749"/>
    <mergeCell ref="G749:J749"/>
    <mergeCell ref="L749:R749"/>
    <mergeCell ref="A750:B750"/>
    <mergeCell ref="C750:D750"/>
    <mergeCell ref="E750:F750"/>
    <mergeCell ref="G750:J750"/>
    <mergeCell ref="L750:R750"/>
    <mergeCell ref="B723:E723"/>
    <mergeCell ref="A745:E745"/>
    <mergeCell ref="F745:R745"/>
    <mergeCell ref="B746:R746"/>
    <mergeCell ref="B747:R747"/>
    <mergeCell ref="B748:R748"/>
    <mergeCell ref="M722:M724"/>
    <mergeCell ref="N722:N724"/>
    <mergeCell ref="O722:O724"/>
    <mergeCell ref="P722:P724"/>
    <mergeCell ref="Q722:Q724"/>
    <mergeCell ref="R722:R724"/>
    <mergeCell ref="B753:E753"/>
    <mergeCell ref="A775:E775"/>
    <mergeCell ref="F775:R775"/>
    <mergeCell ref="B776:R776"/>
    <mergeCell ref="B777:R777"/>
    <mergeCell ref="B778:R778"/>
    <mergeCell ref="M752:M754"/>
    <mergeCell ref="N752:N754"/>
    <mergeCell ref="O752:O754"/>
    <mergeCell ref="P752:P754"/>
    <mergeCell ref="Q752:Q754"/>
    <mergeCell ref="R752:R754"/>
    <mergeCell ref="A751:K751"/>
    <mergeCell ref="L751:P751"/>
    <mergeCell ref="B752:D752"/>
    <mergeCell ref="F752:F754"/>
    <mergeCell ref="G752:G754"/>
    <mergeCell ref="H752:H754"/>
    <mergeCell ref="I752:I754"/>
    <mergeCell ref="J752:J754"/>
    <mergeCell ref="K752:K754"/>
    <mergeCell ref="L752:L754"/>
    <mergeCell ref="A781:K781"/>
    <mergeCell ref="L781:P781"/>
    <mergeCell ref="B782:D782"/>
    <mergeCell ref="F782:F784"/>
    <mergeCell ref="G782:G784"/>
    <mergeCell ref="H782:H784"/>
    <mergeCell ref="I782:I784"/>
    <mergeCell ref="J782:J784"/>
    <mergeCell ref="K782:K784"/>
    <mergeCell ref="L782:L784"/>
    <mergeCell ref="A779:B779"/>
    <mergeCell ref="C779:D779"/>
    <mergeCell ref="E779:F779"/>
    <mergeCell ref="G779:J779"/>
    <mergeCell ref="L779:R779"/>
    <mergeCell ref="A780:B780"/>
    <mergeCell ref="C780:D780"/>
    <mergeCell ref="E780:F780"/>
    <mergeCell ref="G780:J780"/>
    <mergeCell ref="L780:R780"/>
    <mergeCell ref="A809:B809"/>
    <mergeCell ref="C809:D809"/>
    <mergeCell ref="E809:F809"/>
    <mergeCell ref="G809:J809"/>
    <mergeCell ref="L809:R809"/>
    <mergeCell ref="A810:B810"/>
    <mergeCell ref="C810:D810"/>
    <mergeCell ref="E810:F810"/>
    <mergeCell ref="G810:J810"/>
    <mergeCell ref="L810:R810"/>
    <mergeCell ref="B783:E783"/>
    <mergeCell ref="A805:E805"/>
    <mergeCell ref="F805:R805"/>
    <mergeCell ref="B806:R806"/>
    <mergeCell ref="B807:R807"/>
    <mergeCell ref="B808:R808"/>
    <mergeCell ref="M782:M784"/>
    <mergeCell ref="N782:N784"/>
    <mergeCell ref="O782:O784"/>
    <mergeCell ref="P782:P784"/>
    <mergeCell ref="Q782:Q784"/>
    <mergeCell ref="R782:R784"/>
    <mergeCell ref="B813:E813"/>
    <mergeCell ref="A835:E835"/>
    <mergeCell ref="F835:R835"/>
    <mergeCell ref="B836:R836"/>
    <mergeCell ref="B837:R837"/>
    <mergeCell ref="B838:R838"/>
    <mergeCell ref="M812:M814"/>
    <mergeCell ref="N812:N814"/>
    <mergeCell ref="O812:O814"/>
    <mergeCell ref="P812:P814"/>
    <mergeCell ref="Q812:Q814"/>
    <mergeCell ref="R812:R814"/>
    <mergeCell ref="A811:K811"/>
    <mergeCell ref="L811:P811"/>
    <mergeCell ref="B812:D812"/>
    <mergeCell ref="F812:F814"/>
    <mergeCell ref="G812:G814"/>
    <mergeCell ref="H812:H814"/>
    <mergeCell ref="I812:I814"/>
    <mergeCell ref="J812:J814"/>
    <mergeCell ref="K812:K814"/>
    <mergeCell ref="L812:L814"/>
    <mergeCell ref="A841:K841"/>
    <mergeCell ref="L841:P841"/>
    <mergeCell ref="B842:D842"/>
    <mergeCell ref="F842:F844"/>
    <mergeCell ref="G842:G844"/>
    <mergeCell ref="H842:H844"/>
    <mergeCell ref="I842:I844"/>
    <mergeCell ref="J842:J844"/>
    <mergeCell ref="K842:K844"/>
    <mergeCell ref="L842:L844"/>
    <mergeCell ref="A839:B839"/>
    <mergeCell ref="C839:D839"/>
    <mergeCell ref="E839:F839"/>
    <mergeCell ref="G839:J839"/>
    <mergeCell ref="L839:R839"/>
    <mergeCell ref="A840:B840"/>
    <mergeCell ref="C840:D840"/>
    <mergeCell ref="E840:F840"/>
    <mergeCell ref="G840:J840"/>
    <mergeCell ref="L840:R840"/>
    <mergeCell ref="A869:B869"/>
    <mergeCell ref="C869:D869"/>
    <mergeCell ref="E869:F869"/>
    <mergeCell ref="G869:J869"/>
    <mergeCell ref="L869:R869"/>
    <mergeCell ref="A870:B870"/>
    <mergeCell ref="C870:D870"/>
    <mergeCell ref="E870:F870"/>
    <mergeCell ref="G870:J870"/>
    <mergeCell ref="L870:R870"/>
    <mergeCell ref="B843:E843"/>
    <mergeCell ref="A865:E865"/>
    <mergeCell ref="F865:R865"/>
    <mergeCell ref="B866:R866"/>
    <mergeCell ref="B867:R867"/>
    <mergeCell ref="B868:R868"/>
    <mergeCell ref="M842:M844"/>
    <mergeCell ref="N842:N844"/>
    <mergeCell ref="O842:O844"/>
    <mergeCell ref="P842:P844"/>
    <mergeCell ref="Q842:Q844"/>
    <mergeCell ref="R842:R844"/>
    <mergeCell ref="B873:E873"/>
    <mergeCell ref="A895:E895"/>
    <mergeCell ref="F895:R895"/>
    <mergeCell ref="B896:R896"/>
    <mergeCell ref="B897:R897"/>
    <mergeCell ref="B898:R898"/>
    <mergeCell ref="M872:M874"/>
    <mergeCell ref="N872:N874"/>
    <mergeCell ref="O872:O874"/>
    <mergeCell ref="P872:P874"/>
    <mergeCell ref="Q872:Q874"/>
    <mergeCell ref="R872:R874"/>
    <mergeCell ref="A871:K871"/>
    <mergeCell ref="L871:P871"/>
    <mergeCell ref="B872:D872"/>
    <mergeCell ref="F872:F874"/>
    <mergeCell ref="G872:G874"/>
    <mergeCell ref="H872:H874"/>
    <mergeCell ref="I872:I874"/>
    <mergeCell ref="J872:J874"/>
    <mergeCell ref="K872:K874"/>
    <mergeCell ref="L872:L874"/>
    <mergeCell ref="A901:K901"/>
    <mergeCell ref="L901:P901"/>
    <mergeCell ref="B902:D902"/>
    <mergeCell ref="F902:F904"/>
    <mergeCell ref="G902:G904"/>
    <mergeCell ref="H902:H904"/>
    <mergeCell ref="I902:I904"/>
    <mergeCell ref="J902:J904"/>
    <mergeCell ref="K902:K904"/>
    <mergeCell ref="L902:L904"/>
    <mergeCell ref="A899:B899"/>
    <mergeCell ref="C899:D899"/>
    <mergeCell ref="E899:F899"/>
    <mergeCell ref="G899:J899"/>
    <mergeCell ref="L899:R899"/>
    <mergeCell ref="A900:B900"/>
    <mergeCell ref="C900:D900"/>
    <mergeCell ref="E900:F900"/>
    <mergeCell ref="G900:J900"/>
    <mergeCell ref="L900:R900"/>
    <mergeCell ref="A929:B929"/>
    <mergeCell ref="C929:D929"/>
    <mergeCell ref="E929:F929"/>
    <mergeCell ref="G929:J929"/>
    <mergeCell ref="L929:R929"/>
    <mergeCell ref="A930:B930"/>
    <mergeCell ref="C930:D930"/>
    <mergeCell ref="E930:F930"/>
    <mergeCell ref="G930:J930"/>
    <mergeCell ref="L930:R930"/>
    <mergeCell ref="B903:E903"/>
    <mergeCell ref="A925:E925"/>
    <mergeCell ref="F925:R925"/>
    <mergeCell ref="B926:R926"/>
    <mergeCell ref="B927:R927"/>
    <mergeCell ref="B928:R928"/>
    <mergeCell ref="M902:M904"/>
    <mergeCell ref="N902:N904"/>
    <mergeCell ref="O902:O904"/>
    <mergeCell ref="P902:P904"/>
    <mergeCell ref="Q902:Q904"/>
    <mergeCell ref="R902:R904"/>
    <mergeCell ref="B933:E933"/>
    <mergeCell ref="A955:E955"/>
    <mergeCell ref="F955:R955"/>
    <mergeCell ref="B956:R956"/>
    <mergeCell ref="B957:R957"/>
    <mergeCell ref="B958:R958"/>
    <mergeCell ref="M932:M934"/>
    <mergeCell ref="N932:N934"/>
    <mergeCell ref="O932:O934"/>
    <mergeCell ref="P932:P934"/>
    <mergeCell ref="Q932:Q934"/>
    <mergeCell ref="R932:R934"/>
    <mergeCell ref="A931:K931"/>
    <mergeCell ref="L931:P931"/>
    <mergeCell ref="B932:D932"/>
    <mergeCell ref="F932:F934"/>
    <mergeCell ref="G932:G934"/>
    <mergeCell ref="H932:H934"/>
    <mergeCell ref="I932:I934"/>
    <mergeCell ref="J932:J934"/>
    <mergeCell ref="K932:K934"/>
    <mergeCell ref="L932:L934"/>
    <mergeCell ref="A961:K961"/>
    <mergeCell ref="L961:P961"/>
    <mergeCell ref="B962:D962"/>
    <mergeCell ref="F962:F964"/>
    <mergeCell ref="G962:G964"/>
    <mergeCell ref="H962:H964"/>
    <mergeCell ref="I962:I964"/>
    <mergeCell ref="J962:J964"/>
    <mergeCell ref="K962:K964"/>
    <mergeCell ref="L962:L964"/>
    <mergeCell ref="A959:B959"/>
    <mergeCell ref="C959:D959"/>
    <mergeCell ref="E959:F959"/>
    <mergeCell ref="G959:J959"/>
    <mergeCell ref="L959:R959"/>
    <mergeCell ref="A960:B960"/>
    <mergeCell ref="C960:D960"/>
    <mergeCell ref="E960:F960"/>
    <mergeCell ref="G960:J960"/>
    <mergeCell ref="L960:R960"/>
    <mergeCell ref="A989:B989"/>
    <mergeCell ref="C989:D989"/>
    <mergeCell ref="E989:F989"/>
    <mergeCell ref="G989:J989"/>
    <mergeCell ref="L989:R989"/>
    <mergeCell ref="A990:B990"/>
    <mergeCell ref="C990:D990"/>
    <mergeCell ref="E990:F990"/>
    <mergeCell ref="G990:J990"/>
    <mergeCell ref="L990:R990"/>
    <mergeCell ref="B963:E963"/>
    <mergeCell ref="A985:E985"/>
    <mergeCell ref="F985:R985"/>
    <mergeCell ref="B986:R986"/>
    <mergeCell ref="B987:R987"/>
    <mergeCell ref="B988:R988"/>
    <mergeCell ref="M962:M964"/>
    <mergeCell ref="N962:N964"/>
    <mergeCell ref="O962:O964"/>
    <mergeCell ref="P962:P964"/>
    <mergeCell ref="Q962:Q964"/>
    <mergeCell ref="R962:R964"/>
    <mergeCell ref="B993:E993"/>
    <mergeCell ref="A1015:E1015"/>
    <mergeCell ref="F1015:R1015"/>
    <mergeCell ref="B1016:R1016"/>
    <mergeCell ref="B1017:R1017"/>
    <mergeCell ref="B1018:R1018"/>
    <mergeCell ref="M992:M994"/>
    <mergeCell ref="N992:N994"/>
    <mergeCell ref="O992:O994"/>
    <mergeCell ref="P992:P994"/>
    <mergeCell ref="Q992:Q994"/>
    <mergeCell ref="R992:R994"/>
    <mergeCell ref="A991:K991"/>
    <mergeCell ref="L991:P991"/>
    <mergeCell ref="B992:D992"/>
    <mergeCell ref="F992:F994"/>
    <mergeCell ref="G992:G994"/>
    <mergeCell ref="H992:H994"/>
    <mergeCell ref="I992:I994"/>
    <mergeCell ref="J992:J994"/>
    <mergeCell ref="K992:K994"/>
    <mergeCell ref="L992:L994"/>
    <mergeCell ref="A1021:K1021"/>
    <mergeCell ref="L1021:P1021"/>
    <mergeCell ref="B1022:D1022"/>
    <mergeCell ref="F1022:F1024"/>
    <mergeCell ref="G1022:G1024"/>
    <mergeCell ref="H1022:H1024"/>
    <mergeCell ref="I1022:I1024"/>
    <mergeCell ref="J1022:J1024"/>
    <mergeCell ref="K1022:K1024"/>
    <mergeCell ref="L1022:L1024"/>
    <mergeCell ref="A1019:B1019"/>
    <mergeCell ref="C1019:D1019"/>
    <mergeCell ref="E1019:F1019"/>
    <mergeCell ref="G1019:J1019"/>
    <mergeCell ref="L1019:R1019"/>
    <mergeCell ref="A1020:B1020"/>
    <mergeCell ref="C1020:D1020"/>
    <mergeCell ref="E1020:F1020"/>
    <mergeCell ref="G1020:J1020"/>
    <mergeCell ref="L1020:R1020"/>
    <mergeCell ref="A1049:B1049"/>
    <mergeCell ref="C1049:D1049"/>
    <mergeCell ref="E1049:F1049"/>
    <mergeCell ref="G1049:J1049"/>
    <mergeCell ref="L1049:R1049"/>
    <mergeCell ref="A1050:B1050"/>
    <mergeCell ref="C1050:D1050"/>
    <mergeCell ref="E1050:F1050"/>
    <mergeCell ref="G1050:J1050"/>
    <mergeCell ref="L1050:R1050"/>
    <mergeCell ref="B1023:E1023"/>
    <mergeCell ref="A1045:E1045"/>
    <mergeCell ref="F1045:R1045"/>
    <mergeCell ref="B1046:R1046"/>
    <mergeCell ref="B1047:R1047"/>
    <mergeCell ref="B1048:R1048"/>
    <mergeCell ref="M1022:M1024"/>
    <mergeCell ref="N1022:N1024"/>
    <mergeCell ref="O1022:O1024"/>
    <mergeCell ref="P1022:P1024"/>
    <mergeCell ref="Q1022:Q1024"/>
    <mergeCell ref="R1022:R1024"/>
  </mergeCells>
  <conditionalFormatting sqref="E2">
    <cfRule type="containsText" dxfId="135" priority="135" stopIfTrue="1" operator="containsText" text="NOK">
      <formula>NOT(ISERROR(SEARCH("NOK",E2)))</formula>
    </cfRule>
    <cfRule type="containsText" dxfId="134" priority="136" stopIfTrue="1" operator="containsText" text="OK">
      <formula>NOT(ISERROR(SEARCH("OK",E2)))</formula>
    </cfRule>
  </conditionalFormatting>
  <conditionalFormatting sqref="E32">
    <cfRule type="containsText" dxfId="133" priority="134" stopIfTrue="1" operator="containsText" text="OK">
      <formula>NOT(ISERROR(SEARCH("OK",E32)))</formula>
    </cfRule>
    <cfRule type="containsText" dxfId="132" priority="133" stopIfTrue="1" operator="containsText" text="NOK">
      <formula>NOT(ISERROR(SEARCH("NOK",E32)))</formula>
    </cfRule>
  </conditionalFormatting>
  <conditionalFormatting sqref="E62">
    <cfRule type="containsText" dxfId="131" priority="132" stopIfTrue="1" operator="containsText" text="OK">
      <formula>NOT(ISERROR(SEARCH("OK",E62)))</formula>
    </cfRule>
    <cfRule type="containsText" dxfId="130" priority="131" stopIfTrue="1" operator="containsText" text="NOK">
      <formula>NOT(ISERROR(SEARCH("NOK",E62)))</formula>
    </cfRule>
  </conditionalFormatting>
  <conditionalFormatting sqref="E92">
    <cfRule type="containsText" dxfId="129" priority="130" stopIfTrue="1" operator="containsText" text="OK">
      <formula>NOT(ISERROR(SEARCH("OK",E92)))</formula>
    </cfRule>
    <cfRule type="containsText" dxfId="128" priority="129" stopIfTrue="1" operator="containsText" text="NOK">
      <formula>NOT(ISERROR(SEARCH("NOK",E92)))</formula>
    </cfRule>
  </conditionalFormatting>
  <conditionalFormatting sqref="E122">
    <cfRule type="containsText" dxfId="127" priority="128" stopIfTrue="1" operator="containsText" text="OK">
      <formula>NOT(ISERROR(SEARCH("OK",E122)))</formula>
    </cfRule>
    <cfRule type="containsText" dxfId="126" priority="127" stopIfTrue="1" operator="containsText" text="NOK">
      <formula>NOT(ISERROR(SEARCH("NOK",E122)))</formula>
    </cfRule>
  </conditionalFormatting>
  <conditionalFormatting sqref="E152">
    <cfRule type="containsText" dxfId="125" priority="126" stopIfTrue="1" operator="containsText" text="OK">
      <formula>NOT(ISERROR(SEARCH("OK",E152)))</formula>
    </cfRule>
    <cfRule type="containsText" dxfId="124" priority="125" stopIfTrue="1" operator="containsText" text="NOK">
      <formula>NOT(ISERROR(SEARCH("NOK",E152)))</formula>
    </cfRule>
  </conditionalFormatting>
  <conditionalFormatting sqref="E182">
    <cfRule type="containsText" dxfId="123" priority="124" stopIfTrue="1" operator="containsText" text="OK">
      <formula>NOT(ISERROR(SEARCH("OK",E182)))</formula>
    </cfRule>
    <cfRule type="containsText" dxfId="122" priority="123" stopIfTrue="1" operator="containsText" text="NOK">
      <formula>NOT(ISERROR(SEARCH("NOK",E182)))</formula>
    </cfRule>
  </conditionalFormatting>
  <conditionalFormatting sqref="E212">
    <cfRule type="containsText" dxfId="121" priority="122" stopIfTrue="1" operator="containsText" text="OK">
      <formula>NOT(ISERROR(SEARCH("OK",E212)))</formula>
    </cfRule>
    <cfRule type="containsText" dxfId="120" priority="121" stopIfTrue="1" operator="containsText" text="NOK">
      <formula>NOT(ISERROR(SEARCH("NOK",E212)))</formula>
    </cfRule>
  </conditionalFormatting>
  <conditionalFormatting sqref="E242">
    <cfRule type="containsText" dxfId="119" priority="119" stopIfTrue="1" operator="containsText" text="NOK">
      <formula>NOT(ISERROR(SEARCH("NOK",E242)))</formula>
    </cfRule>
    <cfRule type="containsText" dxfId="118" priority="120" stopIfTrue="1" operator="containsText" text="OK">
      <formula>NOT(ISERROR(SEARCH("OK",E242)))</formula>
    </cfRule>
  </conditionalFormatting>
  <conditionalFormatting sqref="E272">
    <cfRule type="containsText" dxfId="117" priority="118" stopIfTrue="1" operator="containsText" text="OK">
      <formula>NOT(ISERROR(SEARCH("OK",E272)))</formula>
    </cfRule>
    <cfRule type="containsText" dxfId="116" priority="117" stopIfTrue="1" operator="containsText" text="NOK">
      <formula>NOT(ISERROR(SEARCH("NOK",E272)))</formula>
    </cfRule>
  </conditionalFormatting>
  <conditionalFormatting sqref="E302">
    <cfRule type="containsText" dxfId="115" priority="116" stopIfTrue="1" operator="containsText" text="OK">
      <formula>NOT(ISERROR(SEARCH("OK",E302)))</formula>
    </cfRule>
    <cfRule type="containsText" dxfId="114" priority="115" stopIfTrue="1" operator="containsText" text="NOK">
      <formula>NOT(ISERROR(SEARCH("NOK",E302)))</formula>
    </cfRule>
  </conditionalFormatting>
  <conditionalFormatting sqref="E332">
    <cfRule type="containsText" dxfId="113" priority="114" stopIfTrue="1" operator="containsText" text="OK">
      <formula>NOT(ISERROR(SEARCH("OK",E332)))</formula>
    </cfRule>
    <cfRule type="containsText" dxfId="112" priority="113" stopIfTrue="1" operator="containsText" text="NOK">
      <formula>NOT(ISERROR(SEARCH("NOK",E332)))</formula>
    </cfRule>
  </conditionalFormatting>
  <conditionalFormatting sqref="E362">
    <cfRule type="containsText" dxfId="111" priority="112" stopIfTrue="1" operator="containsText" text="OK">
      <formula>NOT(ISERROR(SEARCH("OK",E362)))</formula>
    </cfRule>
    <cfRule type="containsText" dxfId="110" priority="111" stopIfTrue="1" operator="containsText" text="NOK">
      <formula>NOT(ISERROR(SEARCH("NOK",E362)))</formula>
    </cfRule>
  </conditionalFormatting>
  <conditionalFormatting sqref="E392">
    <cfRule type="containsText" dxfId="109" priority="110" stopIfTrue="1" operator="containsText" text="OK">
      <formula>NOT(ISERROR(SEARCH("OK",E392)))</formula>
    </cfRule>
    <cfRule type="containsText" dxfId="108" priority="109" stopIfTrue="1" operator="containsText" text="NOK">
      <formula>NOT(ISERROR(SEARCH("NOK",E392)))</formula>
    </cfRule>
  </conditionalFormatting>
  <conditionalFormatting sqref="E422">
    <cfRule type="containsText" dxfId="107" priority="108" stopIfTrue="1" operator="containsText" text="OK">
      <formula>NOT(ISERROR(SEARCH("OK",E422)))</formula>
    </cfRule>
    <cfRule type="containsText" dxfId="106" priority="107" stopIfTrue="1" operator="containsText" text="NOK">
      <formula>NOT(ISERROR(SEARCH("NOK",E422)))</formula>
    </cfRule>
  </conditionalFormatting>
  <conditionalFormatting sqref="E452">
    <cfRule type="containsText" dxfId="105" priority="106" stopIfTrue="1" operator="containsText" text="OK">
      <formula>NOT(ISERROR(SEARCH("OK",E452)))</formula>
    </cfRule>
    <cfRule type="containsText" dxfId="104" priority="105" stopIfTrue="1" operator="containsText" text="NOK">
      <formula>NOT(ISERROR(SEARCH("NOK",E452)))</formula>
    </cfRule>
  </conditionalFormatting>
  <conditionalFormatting sqref="E482">
    <cfRule type="containsText" dxfId="103" priority="104" stopIfTrue="1" operator="containsText" text="OK">
      <formula>NOT(ISERROR(SEARCH("OK",E482)))</formula>
    </cfRule>
    <cfRule type="containsText" dxfId="102" priority="103" stopIfTrue="1" operator="containsText" text="NOK">
      <formula>NOT(ISERROR(SEARCH("NOK",E482)))</formula>
    </cfRule>
  </conditionalFormatting>
  <conditionalFormatting sqref="E512">
    <cfRule type="containsText" dxfId="101" priority="102" stopIfTrue="1" operator="containsText" text="OK">
      <formula>NOT(ISERROR(SEARCH("OK",E512)))</formula>
    </cfRule>
    <cfRule type="containsText" dxfId="100" priority="101" stopIfTrue="1" operator="containsText" text="NOK">
      <formula>NOT(ISERROR(SEARCH("NOK",E512)))</formula>
    </cfRule>
  </conditionalFormatting>
  <conditionalFormatting sqref="E542">
    <cfRule type="containsText" dxfId="99" priority="100" stopIfTrue="1" operator="containsText" text="OK">
      <formula>NOT(ISERROR(SEARCH("OK",E542)))</formula>
    </cfRule>
    <cfRule type="containsText" dxfId="98" priority="99" stopIfTrue="1" operator="containsText" text="NOK">
      <formula>NOT(ISERROR(SEARCH("NOK",E542)))</formula>
    </cfRule>
  </conditionalFormatting>
  <conditionalFormatting sqref="E572">
    <cfRule type="containsText" dxfId="97" priority="98" stopIfTrue="1" operator="containsText" text="OK">
      <formula>NOT(ISERROR(SEARCH("OK",E572)))</formula>
    </cfRule>
    <cfRule type="containsText" dxfId="96" priority="97" stopIfTrue="1" operator="containsText" text="NOK">
      <formula>NOT(ISERROR(SEARCH("NOK",E572)))</formula>
    </cfRule>
  </conditionalFormatting>
  <conditionalFormatting sqref="E602">
    <cfRule type="containsText" dxfId="95" priority="96" stopIfTrue="1" operator="containsText" text="OK">
      <formula>NOT(ISERROR(SEARCH("OK",E602)))</formula>
    </cfRule>
    <cfRule type="containsText" dxfId="94" priority="95" stopIfTrue="1" operator="containsText" text="NOK">
      <formula>NOT(ISERROR(SEARCH("NOK",E602)))</formula>
    </cfRule>
  </conditionalFormatting>
  <conditionalFormatting sqref="E632">
    <cfRule type="containsText" dxfId="93" priority="94" stopIfTrue="1" operator="containsText" text="OK">
      <formula>NOT(ISERROR(SEARCH("OK",E632)))</formula>
    </cfRule>
    <cfRule type="containsText" dxfId="92" priority="93" stopIfTrue="1" operator="containsText" text="NOK">
      <formula>NOT(ISERROR(SEARCH("NOK",E632)))</formula>
    </cfRule>
  </conditionalFormatting>
  <conditionalFormatting sqref="E662">
    <cfRule type="containsText" dxfId="91" priority="92" stopIfTrue="1" operator="containsText" text="OK">
      <formula>NOT(ISERROR(SEARCH("OK",E662)))</formula>
    </cfRule>
    <cfRule type="containsText" dxfId="90" priority="91" stopIfTrue="1" operator="containsText" text="NOK">
      <formula>NOT(ISERROR(SEARCH("NOK",E662)))</formula>
    </cfRule>
  </conditionalFormatting>
  <conditionalFormatting sqref="E692">
    <cfRule type="containsText" dxfId="89" priority="89" stopIfTrue="1" operator="containsText" text="NOK">
      <formula>NOT(ISERROR(SEARCH("NOK",E692)))</formula>
    </cfRule>
    <cfRule type="containsText" dxfId="88" priority="90" stopIfTrue="1" operator="containsText" text="OK">
      <formula>NOT(ISERROR(SEARCH("OK",E692)))</formula>
    </cfRule>
  </conditionalFormatting>
  <conditionalFormatting sqref="E722">
    <cfRule type="containsText" dxfId="87" priority="88" stopIfTrue="1" operator="containsText" text="OK">
      <formula>NOT(ISERROR(SEARCH("OK",E722)))</formula>
    </cfRule>
    <cfRule type="containsText" dxfId="86" priority="87" stopIfTrue="1" operator="containsText" text="NOK">
      <formula>NOT(ISERROR(SEARCH("NOK",E722)))</formula>
    </cfRule>
  </conditionalFormatting>
  <conditionalFormatting sqref="E752">
    <cfRule type="containsText" dxfId="85" priority="86" stopIfTrue="1" operator="containsText" text="OK">
      <formula>NOT(ISERROR(SEARCH("OK",E752)))</formula>
    </cfRule>
    <cfRule type="containsText" dxfId="84" priority="85" stopIfTrue="1" operator="containsText" text="NOK">
      <formula>NOT(ISERROR(SEARCH("NOK",E752)))</formula>
    </cfRule>
  </conditionalFormatting>
  <conditionalFormatting sqref="E782">
    <cfRule type="containsText" dxfId="83" priority="84" stopIfTrue="1" operator="containsText" text="OK">
      <formula>NOT(ISERROR(SEARCH("OK",E782)))</formula>
    </cfRule>
    <cfRule type="containsText" dxfId="82" priority="83" stopIfTrue="1" operator="containsText" text="NOK">
      <formula>NOT(ISERROR(SEARCH("NOK",E782)))</formula>
    </cfRule>
  </conditionalFormatting>
  <conditionalFormatting sqref="E812">
    <cfRule type="containsText" dxfId="81" priority="82" stopIfTrue="1" operator="containsText" text="OK">
      <formula>NOT(ISERROR(SEARCH("OK",E812)))</formula>
    </cfRule>
    <cfRule type="containsText" dxfId="80" priority="81" stopIfTrue="1" operator="containsText" text="NOK">
      <formula>NOT(ISERROR(SEARCH("NOK",E812)))</formula>
    </cfRule>
  </conditionalFormatting>
  <conditionalFormatting sqref="E842">
    <cfRule type="containsText" dxfId="79" priority="80" stopIfTrue="1" operator="containsText" text="OK">
      <formula>NOT(ISERROR(SEARCH("OK",E842)))</formula>
    </cfRule>
    <cfRule type="containsText" dxfId="78" priority="79" stopIfTrue="1" operator="containsText" text="NOK">
      <formula>NOT(ISERROR(SEARCH("NOK",E842)))</formula>
    </cfRule>
  </conditionalFormatting>
  <conditionalFormatting sqref="E872">
    <cfRule type="containsText" dxfId="77" priority="78" stopIfTrue="1" operator="containsText" text="OK">
      <formula>NOT(ISERROR(SEARCH("OK",E872)))</formula>
    </cfRule>
    <cfRule type="containsText" dxfId="76" priority="77" stopIfTrue="1" operator="containsText" text="NOK">
      <formula>NOT(ISERROR(SEARCH("NOK",E872)))</formula>
    </cfRule>
  </conditionalFormatting>
  <conditionalFormatting sqref="E902">
    <cfRule type="containsText" dxfId="75" priority="76" stopIfTrue="1" operator="containsText" text="OK">
      <formula>NOT(ISERROR(SEARCH("OK",E902)))</formula>
    </cfRule>
    <cfRule type="containsText" dxfId="74" priority="75" stopIfTrue="1" operator="containsText" text="NOK">
      <formula>NOT(ISERROR(SEARCH("NOK",E902)))</formula>
    </cfRule>
  </conditionalFormatting>
  <conditionalFormatting sqref="E932">
    <cfRule type="containsText" dxfId="73" priority="73" stopIfTrue="1" operator="containsText" text="NOK">
      <formula>NOT(ISERROR(SEARCH("NOK",E932)))</formula>
    </cfRule>
    <cfRule type="containsText" dxfId="72" priority="74" stopIfTrue="1" operator="containsText" text="OK">
      <formula>NOT(ISERROR(SEARCH("OK",E932)))</formula>
    </cfRule>
  </conditionalFormatting>
  <conditionalFormatting sqref="E962">
    <cfRule type="containsText" dxfId="71" priority="72" stopIfTrue="1" operator="containsText" text="OK">
      <formula>NOT(ISERROR(SEARCH("OK",E962)))</formula>
    </cfRule>
    <cfRule type="containsText" dxfId="70" priority="71" stopIfTrue="1" operator="containsText" text="NOK">
      <formula>NOT(ISERROR(SEARCH("NOK",E962)))</formula>
    </cfRule>
  </conditionalFormatting>
  <conditionalFormatting sqref="E992">
    <cfRule type="containsText" dxfId="69" priority="69" stopIfTrue="1" operator="containsText" text="NOK">
      <formula>NOT(ISERROR(SEARCH("NOK",E992)))</formula>
    </cfRule>
    <cfRule type="containsText" dxfId="68" priority="70" stopIfTrue="1" operator="containsText" text="OK">
      <formula>NOT(ISERROR(SEARCH("OK",E992)))</formula>
    </cfRule>
  </conditionalFormatting>
  <conditionalFormatting sqref="E1022">
    <cfRule type="containsText" dxfId="67" priority="68" stopIfTrue="1" operator="containsText" text="OK">
      <formula>NOT(ISERROR(SEARCH("OK",E1022)))</formula>
    </cfRule>
    <cfRule type="containsText" dxfId="66" priority="67" stopIfTrue="1" operator="containsText" text="NOK">
      <formula>NOT(ISERROR(SEARCH("NOK",E1022)))</formula>
    </cfRule>
  </conditionalFormatting>
  <conditionalFormatting sqref="N5:N24">
    <cfRule type="containsText" dxfId="65" priority="64" stopIfTrue="1" operator="containsText" text="OK">
      <formula>NOT(ISERROR(SEARCH("OK",N5)))</formula>
    </cfRule>
    <cfRule type="containsText" dxfId="64" priority="63" stopIfTrue="1" operator="containsText" text="NOK">
      <formula>NOT(ISERROR(SEARCH("NOK",N5)))</formula>
    </cfRule>
  </conditionalFormatting>
  <conditionalFormatting sqref="N35:N54">
    <cfRule type="containsText" dxfId="63" priority="66" stopIfTrue="1" operator="containsText" text="OK">
      <formula>NOT(ISERROR(SEARCH("OK",N35)))</formula>
    </cfRule>
    <cfRule type="containsText" dxfId="62" priority="65" stopIfTrue="1" operator="containsText" text="NOK">
      <formula>NOT(ISERROR(SEARCH("NOK",N35)))</formula>
    </cfRule>
  </conditionalFormatting>
  <conditionalFormatting sqref="N65:N85">
    <cfRule type="containsText" dxfId="61" priority="62" stopIfTrue="1" operator="containsText" text="OK">
      <formula>NOT(ISERROR(SEARCH("OK",N65)))</formula>
    </cfRule>
    <cfRule type="containsText" dxfId="60" priority="61" stopIfTrue="1" operator="containsText" text="NOK">
      <formula>NOT(ISERROR(SEARCH("NOK",N65)))</formula>
    </cfRule>
  </conditionalFormatting>
  <conditionalFormatting sqref="N95:N116">
    <cfRule type="containsText" dxfId="59" priority="60" stopIfTrue="1" operator="containsText" text="OK">
      <formula>NOT(ISERROR(SEARCH("OK",N95)))</formula>
    </cfRule>
    <cfRule type="containsText" dxfId="58" priority="59" stopIfTrue="1" operator="containsText" text="NOK">
      <formula>NOT(ISERROR(SEARCH("NOK",N95)))</formula>
    </cfRule>
  </conditionalFormatting>
  <conditionalFormatting sqref="N125:N147">
    <cfRule type="containsText" dxfId="57" priority="58" stopIfTrue="1" operator="containsText" text="OK">
      <formula>NOT(ISERROR(SEARCH("OK",N125)))</formula>
    </cfRule>
    <cfRule type="containsText" dxfId="56" priority="57" stopIfTrue="1" operator="containsText" text="NOK">
      <formula>NOT(ISERROR(SEARCH("NOK",N125)))</formula>
    </cfRule>
  </conditionalFormatting>
  <conditionalFormatting sqref="N155:N178">
    <cfRule type="containsText" dxfId="55" priority="56" stopIfTrue="1" operator="containsText" text="OK">
      <formula>NOT(ISERROR(SEARCH("OK",N155)))</formula>
    </cfRule>
    <cfRule type="containsText" dxfId="54" priority="55" stopIfTrue="1" operator="containsText" text="NOK">
      <formula>NOT(ISERROR(SEARCH("NOK",N155)))</formula>
    </cfRule>
  </conditionalFormatting>
  <conditionalFormatting sqref="N185:N208">
    <cfRule type="containsText" dxfId="53" priority="54" stopIfTrue="1" operator="containsText" text="OK">
      <formula>NOT(ISERROR(SEARCH("OK",N185)))</formula>
    </cfRule>
    <cfRule type="containsText" dxfId="52" priority="53" stopIfTrue="1" operator="containsText" text="NOK">
      <formula>NOT(ISERROR(SEARCH("NOK",N185)))</formula>
    </cfRule>
  </conditionalFormatting>
  <conditionalFormatting sqref="N215:N238 N245:N268">
    <cfRule type="containsText" dxfId="51" priority="52" stopIfTrue="1" operator="containsText" text="OK">
      <formula>NOT(ISERROR(SEARCH("OK",N215)))</formula>
    </cfRule>
    <cfRule type="containsText" dxfId="50" priority="51" stopIfTrue="1" operator="containsText" text="NOK">
      <formula>NOT(ISERROR(SEARCH("NOK",N215)))</formula>
    </cfRule>
  </conditionalFormatting>
  <conditionalFormatting sqref="N275:N298">
    <cfRule type="containsText" dxfId="49" priority="50" stopIfTrue="1" operator="containsText" text="OK">
      <formula>NOT(ISERROR(SEARCH("OK",N275)))</formula>
    </cfRule>
    <cfRule type="containsText" dxfId="48" priority="49" stopIfTrue="1" operator="containsText" text="NOK">
      <formula>NOT(ISERROR(SEARCH("NOK",N275)))</formula>
    </cfRule>
  </conditionalFormatting>
  <conditionalFormatting sqref="N305:N328">
    <cfRule type="containsText" dxfId="47" priority="48" stopIfTrue="1" operator="containsText" text="OK">
      <formula>NOT(ISERROR(SEARCH("OK",N305)))</formula>
    </cfRule>
    <cfRule type="containsText" dxfId="46" priority="47" stopIfTrue="1" operator="containsText" text="NOK">
      <formula>NOT(ISERROR(SEARCH("NOK",N305)))</formula>
    </cfRule>
  </conditionalFormatting>
  <conditionalFormatting sqref="N335:N358">
    <cfRule type="containsText" dxfId="45" priority="46" stopIfTrue="1" operator="containsText" text="OK">
      <formula>NOT(ISERROR(SEARCH("OK",N335)))</formula>
    </cfRule>
    <cfRule type="containsText" dxfId="44" priority="45" stopIfTrue="1" operator="containsText" text="NOK">
      <formula>NOT(ISERROR(SEARCH("NOK",N335)))</formula>
    </cfRule>
  </conditionalFormatting>
  <conditionalFormatting sqref="N365:N388">
    <cfRule type="containsText" dxfId="43" priority="44" stopIfTrue="1" operator="containsText" text="OK">
      <formula>NOT(ISERROR(SEARCH("OK",N365)))</formula>
    </cfRule>
    <cfRule type="containsText" dxfId="42" priority="43" stopIfTrue="1" operator="containsText" text="NOK">
      <formula>NOT(ISERROR(SEARCH("NOK",N365)))</formula>
    </cfRule>
  </conditionalFormatting>
  <conditionalFormatting sqref="N395:N414">
    <cfRule type="containsText" dxfId="41" priority="42" stopIfTrue="1" operator="containsText" text="OK">
      <formula>NOT(ISERROR(SEARCH("OK",N395)))</formula>
    </cfRule>
    <cfRule type="containsText" dxfId="40" priority="41" stopIfTrue="1" operator="containsText" text="NOK">
      <formula>NOT(ISERROR(SEARCH("NOK",N395)))</formula>
    </cfRule>
  </conditionalFormatting>
  <conditionalFormatting sqref="N425:N444">
    <cfRule type="containsText" dxfId="39" priority="40" stopIfTrue="1" operator="containsText" text="OK">
      <formula>NOT(ISERROR(SEARCH("OK",N425)))</formula>
    </cfRule>
    <cfRule type="containsText" dxfId="38" priority="39" stopIfTrue="1" operator="containsText" text="NOK">
      <formula>NOT(ISERROR(SEARCH("NOK",N425)))</formula>
    </cfRule>
  </conditionalFormatting>
  <conditionalFormatting sqref="N455:N474">
    <cfRule type="containsText" dxfId="37" priority="38" stopIfTrue="1" operator="containsText" text="OK">
      <formula>NOT(ISERROR(SEARCH("OK",N455)))</formula>
    </cfRule>
    <cfRule type="containsText" dxfId="36" priority="37" stopIfTrue="1" operator="containsText" text="NOK">
      <formula>NOT(ISERROR(SEARCH("NOK",N455)))</formula>
    </cfRule>
  </conditionalFormatting>
  <conditionalFormatting sqref="N485:N504">
    <cfRule type="containsText" dxfId="35" priority="36" stopIfTrue="1" operator="containsText" text="OK">
      <formula>NOT(ISERROR(SEARCH("OK",N485)))</formula>
    </cfRule>
    <cfRule type="containsText" dxfId="34" priority="35" stopIfTrue="1" operator="containsText" text="NOK">
      <formula>NOT(ISERROR(SEARCH("NOK",N485)))</formula>
    </cfRule>
  </conditionalFormatting>
  <conditionalFormatting sqref="N515:N534">
    <cfRule type="containsText" dxfId="33" priority="34" stopIfTrue="1" operator="containsText" text="OK">
      <formula>NOT(ISERROR(SEARCH("OK",N515)))</formula>
    </cfRule>
    <cfRule type="containsText" dxfId="32" priority="33" stopIfTrue="1" operator="containsText" text="NOK">
      <formula>NOT(ISERROR(SEARCH("NOK",N515)))</formula>
    </cfRule>
  </conditionalFormatting>
  <conditionalFormatting sqref="N545:N564">
    <cfRule type="containsText" dxfId="31" priority="32" stopIfTrue="1" operator="containsText" text="OK">
      <formula>NOT(ISERROR(SEARCH("OK",N545)))</formula>
    </cfRule>
    <cfRule type="containsText" dxfId="30" priority="31" stopIfTrue="1" operator="containsText" text="NOK">
      <formula>NOT(ISERROR(SEARCH("NOK",N545)))</formula>
    </cfRule>
  </conditionalFormatting>
  <conditionalFormatting sqref="N575:N594">
    <cfRule type="containsText" dxfId="29" priority="30" stopIfTrue="1" operator="containsText" text="OK">
      <formula>NOT(ISERROR(SEARCH("OK",N575)))</formula>
    </cfRule>
    <cfRule type="containsText" dxfId="28" priority="29" stopIfTrue="1" operator="containsText" text="NOK">
      <formula>NOT(ISERROR(SEARCH("NOK",N575)))</formula>
    </cfRule>
  </conditionalFormatting>
  <conditionalFormatting sqref="N605:N624">
    <cfRule type="containsText" dxfId="27" priority="28" stopIfTrue="1" operator="containsText" text="OK">
      <formula>NOT(ISERROR(SEARCH("OK",N605)))</formula>
    </cfRule>
    <cfRule type="containsText" dxfId="26" priority="27" stopIfTrue="1" operator="containsText" text="NOK">
      <formula>NOT(ISERROR(SEARCH("NOK",N605)))</formula>
    </cfRule>
  </conditionalFormatting>
  <conditionalFormatting sqref="N635:N654">
    <cfRule type="containsText" dxfId="25" priority="26" stopIfTrue="1" operator="containsText" text="OK">
      <formula>NOT(ISERROR(SEARCH("OK",N635)))</formula>
    </cfRule>
    <cfRule type="containsText" dxfId="24" priority="25" stopIfTrue="1" operator="containsText" text="NOK">
      <formula>NOT(ISERROR(SEARCH("NOK",N635)))</formula>
    </cfRule>
  </conditionalFormatting>
  <conditionalFormatting sqref="N665:N684">
    <cfRule type="containsText" dxfId="23" priority="24" stopIfTrue="1" operator="containsText" text="OK">
      <formula>NOT(ISERROR(SEARCH("OK",N665)))</formula>
    </cfRule>
    <cfRule type="containsText" dxfId="22" priority="23" stopIfTrue="1" operator="containsText" text="NOK">
      <formula>NOT(ISERROR(SEARCH("NOK",N665)))</formula>
    </cfRule>
  </conditionalFormatting>
  <conditionalFormatting sqref="N695:N714 N725:N744">
    <cfRule type="containsText" dxfId="21" priority="22" stopIfTrue="1" operator="containsText" text="OK">
      <formula>NOT(ISERROR(SEARCH("OK",N695)))</formula>
    </cfRule>
    <cfRule type="containsText" dxfId="20" priority="21" stopIfTrue="1" operator="containsText" text="NOK">
      <formula>NOT(ISERROR(SEARCH("NOK",N695)))</formula>
    </cfRule>
  </conditionalFormatting>
  <conditionalFormatting sqref="N755:N774">
    <cfRule type="containsText" dxfId="19" priority="20" stopIfTrue="1" operator="containsText" text="OK">
      <formula>NOT(ISERROR(SEARCH("OK",N755)))</formula>
    </cfRule>
    <cfRule type="containsText" dxfId="18" priority="19" stopIfTrue="1" operator="containsText" text="NOK">
      <formula>NOT(ISERROR(SEARCH("NOK",N755)))</formula>
    </cfRule>
  </conditionalFormatting>
  <conditionalFormatting sqref="N785:N804">
    <cfRule type="containsText" dxfId="17" priority="18" stopIfTrue="1" operator="containsText" text="OK">
      <formula>NOT(ISERROR(SEARCH("OK",N785)))</formula>
    </cfRule>
    <cfRule type="containsText" dxfId="16" priority="17" stopIfTrue="1" operator="containsText" text="NOK">
      <formula>NOT(ISERROR(SEARCH("NOK",N785)))</formula>
    </cfRule>
  </conditionalFormatting>
  <conditionalFormatting sqref="N815:N834">
    <cfRule type="containsText" dxfId="15" priority="16" stopIfTrue="1" operator="containsText" text="OK">
      <formula>NOT(ISERROR(SEARCH("OK",N815)))</formula>
    </cfRule>
    <cfRule type="containsText" dxfId="14" priority="15" stopIfTrue="1" operator="containsText" text="NOK">
      <formula>NOT(ISERROR(SEARCH("NOK",N815)))</formula>
    </cfRule>
  </conditionalFormatting>
  <conditionalFormatting sqref="N845:N864">
    <cfRule type="containsText" dxfId="13" priority="14" stopIfTrue="1" operator="containsText" text="OK">
      <formula>NOT(ISERROR(SEARCH("OK",N845)))</formula>
    </cfRule>
    <cfRule type="containsText" dxfId="12" priority="13" stopIfTrue="1" operator="containsText" text="NOK">
      <formula>NOT(ISERROR(SEARCH("NOK",N845)))</formula>
    </cfRule>
  </conditionalFormatting>
  <conditionalFormatting sqref="N875:N894">
    <cfRule type="containsText" dxfId="11" priority="12" stopIfTrue="1" operator="containsText" text="OK">
      <formula>NOT(ISERROR(SEARCH("OK",N875)))</formula>
    </cfRule>
    <cfRule type="containsText" dxfId="10" priority="11" stopIfTrue="1" operator="containsText" text="NOK">
      <formula>NOT(ISERROR(SEARCH("NOK",N875)))</formula>
    </cfRule>
  </conditionalFormatting>
  <conditionalFormatting sqref="N905:N924">
    <cfRule type="containsText" dxfId="9" priority="10" stopIfTrue="1" operator="containsText" text="OK">
      <formula>NOT(ISERROR(SEARCH("OK",N905)))</formula>
    </cfRule>
    <cfRule type="containsText" dxfId="8" priority="9" stopIfTrue="1" operator="containsText" text="NOK">
      <formula>NOT(ISERROR(SEARCH("NOK",N905)))</formula>
    </cfRule>
  </conditionalFormatting>
  <conditionalFormatting sqref="N935:N954">
    <cfRule type="containsText" dxfId="7" priority="8" stopIfTrue="1" operator="containsText" text="OK">
      <formula>NOT(ISERROR(SEARCH("OK",N935)))</formula>
    </cfRule>
    <cfRule type="containsText" dxfId="6" priority="7" stopIfTrue="1" operator="containsText" text="NOK">
      <formula>NOT(ISERROR(SEARCH("NOK",N935)))</formula>
    </cfRule>
  </conditionalFormatting>
  <conditionalFormatting sqref="N965:N984">
    <cfRule type="containsText" dxfId="5" priority="6" stopIfTrue="1" operator="containsText" text="OK">
      <formula>NOT(ISERROR(SEARCH("OK",N965)))</formula>
    </cfRule>
    <cfRule type="containsText" dxfId="4" priority="5" stopIfTrue="1" operator="containsText" text="NOK">
      <formula>NOT(ISERROR(SEARCH("NOK",N965)))</formula>
    </cfRule>
  </conditionalFormatting>
  <conditionalFormatting sqref="N995:N1014">
    <cfRule type="containsText" dxfId="3" priority="3" stopIfTrue="1" operator="containsText" text="NOK">
      <formula>NOT(ISERROR(SEARCH("NOK",N995)))</formula>
    </cfRule>
    <cfRule type="containsText" dxfId="2" priority="4" stopIfTrue="1" operator="containsText" text="OK">
      <formula>NOT(ISERROR(SEARCH("OK",N995)))</formula>
    </cfRule>
  </conditionalFormatting>
  <conditionalFormatting sqref="N1025:N1044">
    <cfRule type="containsText" dxfId="1" priority="1" stopIfTrue="1" operator="containsText" text="NOK">
      <formula>NOT(ISERROR(SEARCH("NOK",N1025)))</formula>
    </cfRule>
    <cfRule type="containsText" dxfId="0" priority="2" stopIfTrue="1" operator="containsText" text="OK">
      <formula>NOT(ISERROR(SEARCH("OK",N1025)))</formula>
    </cfRule>
  </conditionalFormatting>
  <dataValidations count="12">
    <dataValidation type="list" allowBlank="1" showInputMessage="1" showErrorMessage="1" sqref="N35:N54 N339:N358 N309:N328 N279:N298 N369:N388 N69:N85 N99:N116 N159:N178 N189:N208 N219:N238 N249:N268 N129:N147" xr:uid="{C195BAD7-818B-4406-9A60-C51E18893839}">
      <formula1>"OK,NOK,"</formula1>
    </dataValidation>
    <dataValidation type="list" allowBlank="1" showInputMessage="1" showErrorMessage="1" sqref="N5:N24 N65:N68 N95:N98 N125:N128 N155:N158 N185:N188 N215:N218 N245:N248 N275:N278 N305:N308 N335:N338 N365:N368 N395:N414 N425:N444 N455:N474 N485:N504 N515:N534 N545:N564 N575:N594 N605:N624 N635:N654 N665:N684 N695:N714 N725:N744 N755:N774 N785:N804 N815:N834 N845:N864 N875:N894 N905:N924 N935:N954 N965:N984 N995:N1014 N1025:N1044" xr:uid="{B23E282C-FCDC-4D39-8177-CF69FC5354C6}">
      <formula1>"OK, NOK"</formula1>
    </dataValidation>
    <dataValidation type="list" allowBlank="1" showInputMessage="1" showErrorMessage="1" sqref="L995:L1014 L5:L24 L335:L354 L35:L54 L65:L84 L95:L114 L125:L144 L155:L174 L185:L204 L215:L234 L245:L264 L275:L294 L305:L324 L365:L384 L395:L414 L425:L444 L455:L474 L485:L504 L515:L534 L545:L564 L575:L594 L605:L624 L635:L654 L665:L684 L695:L714 L725:L744 L755:L774 L785:L804 L815:L834 L845:L864 L875:L894 L905:L924 L935:L954 L965:L984 L1025:L1044" xr:uid="{752D806D-D4C0-4A6D-8D95-AF5A4FAA916A}">
      <formula1>"12,24,48,60,72"</formula1>
    </dataValidation>
    <dataValidation type="list" allowBlank="1" showInputMessage="1" showErrorMessage="1" sqref="I1025:I1044 I35:I54 I65:I84 I95:I113 I125:I144 I155:I174 I185:I204 I215:I234 I245:I264 I275:I294 I305:I324 I335:I354 I365:I368 I370:I384 I395:I414 I425:I444 I455:I474 I485:I504 I515:I534 I545:I564 I575:I594 I605:I624 I635:I654 I665:I684 I695:I714 I725:I744 I755:I774 I785:I804 I815:I834 I845:I864 I875:I894 I905:I924 I935:I954 I965:I984 I995:I1014 I5:I24" xr:uid="{59E2AD73-D8DB-42C8-983E-2F4FA656739B}">
      <formula1>"700,630,450,425,420,415,400,380,350,330,320,315,310,290,280,275,250,225,215,210,180,165,160,130,125,105,90,88,80,50,40,10,7"</formula1>
    </dataValidation>
    <dataValidation type="list" allowBlank="1" sqref="C5:C24 C35:C54 C65:C84 C95:C114 C125:C144 C155:C174 C185:C204 C215:C234 C245:C264 C275:C294 C305:C324 C335:C354 C365:C384 C395:C414 C425:C444 C455:C474 C485:C504 C515:C534 C545:C564 C575:C594 C605:C624 C635:C654 C665:C684 C695 C698:C714 C725:C744 C755:C774 C785:C804 C815:C834 C845:C864 C875:C894 C905:C924 C935:C954 C965:C984 C995:C1014 C1025:C1044" xr:uid="{85AE60AF-FE3B-4872-A939-977C71DC85A6}">
      <formula1>"2,4,6,8,10,12,16,20,25,32,40,50,60,"</formula1>
    </dataValidation>
    <dataValidation type="list" allowBlank="1" showInputMessage="1" showErrorMessage="1" sqref="I114 I369" xr:uid="{9568CDB7-E462-4058-B5B4-DA9B30F5DA8D}">
      <formula1>"450,425,420,415,400,380,350,330,320,310,290,280,275,250,225,215,210,180,165,160,130,125,105,90,88,80,50,40"</formula1>
    </dataValidation>
    <dataValidation allowBlank="1" showInputMessage="1" sqref="I182:I184 I332:I334 I2:I4 I272:I274 I122:I124 I152:I154 I302:I304 I572:I574 I32:I34 I62:I64 I242:I244 I92:I94 I212:I214 I722:I724 I542:I544 I692:I694 I632:I634 I482:I484 I512:I514 I662:I664 I362:I364 I392:I394 I422:I424 I602:I604 I452:I454 I752:I754 I782:I784 I812:I814 I842:I844 I872:I874 I902:I904 I932:I934 I962:I964 I992:I994 I1051:I65536 I1022:I1024" xr:uid="{15B78747-827C-47E8-A356-FA536A12BC36}"/>
    <dataValidation type="list" allowBlank="1" showInputMessage="1" sqref="C696:C697" xr:uid="{1E5FCD52-4BCE-4390-9A62-E36686D2F474}">
      <formula1>"6,8,10,12,16,20,25,32,40,50,60,"</formula1>
    </dataValidation>
    <dataValidation type="list" allowBlank="1" showInputMessage="1" showErrorMessage="1" sqref="K65:K84 K365:K384 K335:K354 K5:K24 K95:K114 K125:K144 K155:K174 K185:K204 K215:K234 K245:K264 K275:K294 K305:K324 K35:K54 K425:K444 K725:K744 K695:K714 K455:K474 K485:K504 K515:K534 K545:K564 K575:K594 K605:K624 K635:K654 K665:K684 K395:K414 K755:K774 K785:K804 K815:K834 K845:K864 K875:K894 K905:K924 K935:K954 K965:K984 K995:K1014 K1025:K1044" xr:uid="{75B720D3-6FE9-4F7F-BBBB-130AC5F8E7C1}">
      <formula1>"1,2,3"</formula1>
    </dataValidation>
    <dataValidation type="list" allowBlank="1" showInputMessage="1" showErrorMessage="1" sqref="G5:H24 G65:H84 G365:H384 G335:H354 G95:H114 G125:H144 G155:H174 G185:H204 G215:H234 G245:H264 G275:H294 G305:H324 G35:H54 G425:H444 G725:H744 G695:H714 G455:H474 G485:H504 G515:H534 G545:H564 G575:H594 G605:H624 G635:H654 G665:H684 G395:H414 G755:H774 G785:H804 G815:H834 G845:H864 G875:H894 G905:H924 G935:H954 G965:H984 G995:H1014 G1025:H1044" xr:uid="{8BF72352-387E-4855-A0AF-E9645FF2F829}">
      <formula1>"0,45,90,135,180,215,270,315"</formula1>
    </dataValidation>
    <dataValidation type="list" allowBlank="1" showInputMessage="1" showErrorMessage="1" sqref="E65:E84 E335:E354 E365:E384 E35:E54 E95:E114 E125:E144 E155:E174 E185:E204 E215:E234 E245:E264 E275:E294 E305:E324 E5:E24 E425:E444 E695:E714 E725:E744 E395:E414 E455:E474 E485:E504 E515:E534 E545:E564 E575:E594 E605:E624 E635:E654 E665:E684 E755:E774 E785:E804 E815:E834 E845:E864 E875:E894 E905:E924 E935:E954 E965:E984 E995:E1014 E1025:E1044" xr:uid="{B586A7B5-AB55-4BE3-81A7-B80D5DF6C289}">
      <formula1>IF(C5&gt;18,IF(C5=20,Nennweite20,IF(C5=60,Nennweite60,IF(C5=50,Nennweite50,IF(C5=25,Nennweite25,IF(C5=32,Nennweite32,IF(C5=40,Nennweite40,"&gt;")))))),IF(C5=8,Nennweite8,IF(C5=6,Nennweite6,IF(C5=10,Nennweite10,IF(C5=18,Nennweite18,IF(C5=16,Nennweite16,IF(C5=12,Nennweite12,"")))))))</formula1>
    </dataValidation>
    <dataValidation type="list" allowBlank="1" showInputMessage="1" showErrorMessage="1" sqref="D35:D54 D65:D84 D365:D384 D335:D354 D95:D114 D125:D144 D155:D174 D185:D204 D215:D234 D245:D264 D275:D294 D305:D324 D5:D24 D395:D414 D425:D444 D725:D744 D695:D714 D455:D474 D485:D504 D515:D534 D545:D564 D575:D594 D605:D624 D635:D654 D665:D684 D755:D774 D785:D804 D815:D834 D845:D864 D875:D894 D905:D924 D935:D954 D965:D984 D995:D1014 D1025:D1044" xr:uid="{F25B45BA-2522-4183-983A-8216F167FDC6}">
      <formula1>IF(C5&gt;18,IF(C5=20,Nennweite20,IF(C5=60,Nennweite60,IF(C5=50,Nennweite50,IF(C5=25,Nennweite25,IF(C5=32,Nennweite32,IF(C5=40,Nennweite40,"&gt;")))))),IF(C5=8,Nennweite8,IF(C5=6,Nennweite6,IF(C5=10,Nennweite10,IF(C5=18,Nennweite18,IF(C5=16,Nennweite16,IF(C5=12,Nennweite12,"")))))))</formula1>
    </dataValidation>
  </dataValidations>
  <pageMargins left="0.7" right="0.7" top="0.78740157499999996" bottom="0.78740157499999996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35D546DA-F771-47EA-862E-4606D8D9DA52}">
          <x14:formula1>
            <xm:f>Auswahlseite!$A$1:$A$14</xm:f>
          </x14:formula1>
          <xm:sqref>B5:B24 B35:B54 B65:B84 B95:B114 B125:B144 B155:B174 B185:B204 B215:B234 B245:B264 B275:B294 B305:B324 B335:B354 B365:B384 B395:B414 B425:B444 B455:B474 B485:B504 B515:B534 B545:B564 B575:B594 B605:B624 B635:B654 B665:B684 B695:B714 B725:B744 B755:B774 B785:B804 B815:B834 B845:B864 B875:B894 B905:B924 B935:B954 B965:B984 B995:B1014 B1025:B1044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4CE1-EA1D-4FE6-86D2-89DC6654E92D}">
  <dimension ref="A1:K80"/>
  <sheetViews>
    <sheetView workbookViewId="0">
      <selection activeCell="B16" sqref="B16"/>
    </sheetView>
  </sheetViews>
  <sheetFormatPr baseColWidth="10" defaultRowHeight="15"/>
  <cols>
    <col min="1" max="2" width="11.42578125" style="36"/>
    <col min="3" max="3" width="18.28515625" customWidth="1"/>
    <col min="9" max="9" width="13.5703125" customWidth="1"/>
  </cols>
  <sheetData>
    <row r="1" spans="1:11">
      <c r="A1" s="36" t="s">
        <v>324</v>
      </c>
      <c r="B1" s="36">
        <v>6</v>
      </c>
      <c r="C1" s="16" t="s">
        <v>70</v>
      </c>
      <c r="E1" s="87" t="s">
        <v>325</v>
      </c>
      <c r="F1" s="87"/>
      <c r="G1" s="87"/>
      <c r="I1" s="88" t="s">
        <v>326</v>
      </c>
      <c r="J1" s="87"/>
      <c r="K1" s="87"/>
    </row>
    <row r="2" spans="1:11">
      <c r="A2" s="36" t="s">
        <v>327</v>
      </c>
      <c r="B2" s="36">
        <v>8</v>
      </c>
      <c r="C2" t="s">
        <v>80</v>
      </c>
      <c r="E2" s="88" t="s">
        <v>328</v>
      </c>
      <c r="F2" s="87"/>
      <c r="G2" s="87"/>
      <c r="I2" s="88" t="s">
        <v>329</v>
      </c>
      <c r="J2" s="87"/>
      <c r="K2" s="87"/>
    </row>
    <row r="3" spans="1:11">
      <c r="A3" s="36" t="s">
        <v>330</v>
      </c>
      <c r="B3" s="36">
        <v>10</v>
      </c>
      <c r="C3" t="s">
        <v>88</v>
      </c>
      <c r="E3" t="s">
        <v>331</v>
      </c>
      <c r="F3" t="s">
        <v>56</v>
      </c>
      <c r="G3" t="s">
        <v>332</v>
      </c>
      <c r="H3" s="16"/>
      <c r="I3" s="16" t="s">
        <v>333</v>
      </c>
      <c r="J3" s="16" t="s">
        <v>332</v>
      </c>
      <c r="K3" s="16"/>
    </row>
    <row r="4" spans="1:11">
      <c r="A4" s="36" t="s">
        <v>334</v>
      </c>
      <c r="B4" s="36">
        <v>12</v>
      </c>
      <c r="C4" t="s">
        <v>31</v>
      </c>
      <c r="E4" t="s">
        <v>324</v>
      </c>
      <c r="F4" s="36">
        <v>6</v>
      </c>
      <c r="G4">
        <v>225</v>
      </c>
      <c r="I4" t="s">
        <v>31</v>
      </c>
      <c r="J4">
        <v>315</v>
      </c>
    </row>
    <row r="5" spans="1:11">
      <c r="A5" s="36" t="s">
        <v>335</v>
      </c>
      <c r="B5" s="36">
        <v>16</v>
      </c>
      <c r="C5" t="s">
        <v>43</v>
      </c>
      <c r="E5" t="s">
        <v>324</v>
      </c>
      <c r="F5" s="36">
        <v>8</v>
      </c>
      <c r="G5">
        <v>215</v>
      </c>
      <c r="I5" t="s">
        <v>43</v>
      </c>
      <c r="J5">
        <v>315</v>
      </c>
    </row>
    <row r="6" spans="1:11">
      <c r="A6" s="36" t="s">
        <v>336</v>
      </c>
      <c r="B6" s="36">
        <v>18</v>
      </c>
      <c r="C6" t="s">
        <v>59</v>
      </c>
      <c r="E6" t="s">
        <v>324</v>
      </c>
      <c r="F6" s="36">
        <v>10</v>
      </c>
      <c r="G6">
        <v>180</v>
      </c>
      <c r="I6" t="s">
        <v>59</v>
      </c>
      <c r="J6">
        <v>315</v>
      </c>
    </row>
    <row r="7" spans="1:11">
      <c r="A7" s="36">
        <v>462</v>
      </c>
      <c r="B7" s="36">
        <v>20</v>
      </c>
      <c r="C7" s="16" t="s">
        <v>100</v>
      </c>
      <c r="E7" t="s">
        <v>324</v>
      </c>
      <c r="F7" s="36">
        <v>12</v>
      </c>
      <c r="G7">
        <v>160</v>
      </c>
      <c r="I7" s="16" t="s">
        <v>70</v>
      </c>
      <c r="J7">
        <v>315</v>
      </c>
    </row>
    <row r="8" spans="1:11">
      <c r="A8" s="36" t="s">
        <v>337</v>
      </c>
      <c r="B8" s="36">
        <v>25</v>
      </c>
      <c r="C8" t="s">
        <v>32</v>
      </c>
      <c r="E8" t="s">
        <v>324</v>
      </c>
      <c r="F8" s="36">
        <v>16</v>
      </c>
      <c r="G8">
        <v>130</v>
      </c>
      <c r="I8" t="s">
        <v>80</v>
      </c>
      <c r="J8">
        <v>315</v>
      </c>
    </row>
    <row r="9" spans="1:11">
      <c r="A9" s="36" t="s">
        <v>338</v>
      </c>
      <c r="B9" s="36">
        <v>32</v>
      </c>
      <c r="C9" t="s">
        <v>44</v>
      </c>
      <c r="E9" t="s">
        <v>324</v>
      </c>
      <c r="F9" s="36">
        <v>20</v>
      </c>
      <c r="G9">
        <v>105</v>
      </c>
      <c r="I9" t="s">
        <v>88</v>
      </c>
      <c r="J9">
        <v>315</v>
      </c>
    </row>
    <row r="10" spans="1:11">
      <c r="A10" s="36" t="s">
        <v>339</v>
      </c>
      <c r="B10" s="36">
        <v>40</v>
      </c>
      <c r="C10" t="s">
        <v>60</v>
      </c>
      <c r="E10" t="s">
        <v>324</v>
      </c>
      <c r="F10" s="36">
        <v>25</v>
      </c>
      <c r="G10">
        <v>88</v>
      </c>
      <c r="I10" s="16" t="s">
        <v>100</v>
      </c>
      <c r="J10">
        <v>315</v>
      </c>
    </row>
    <row r="11" spans="1:11">
      <c r="A11" s="36" t="s">
        <v>340</v>
      </c>
      <c r="B11" s="36">
        <v>50</v>
      </c>
      <c r="C11" t="s">
        <v>71</v>
      </c>
      <c r="E11" t="s">
        <v>327</v>
      </c>
      <c r="F11" s="36">
        <v>6</v>
      </c>
      <c r="G11">
        <v>400</v>
      </c>
      <c r="I11" s="16" t="s">
        <v>341</v>
      </c>
      <c r="J11">
        <v>315</v>
      </c>
    </row>
    <row r="12" spans="1:11">
      <c r="A12" s="36" t="s">
        <v>342</v>
      </c>
      <c r="B12" s="36">
        <v>60</v>
      </c>
      <c r="C12" t="s">
        <v>33</v>
      </c>
      <c r="E12" t="s">
        <v>327</v>
      </c>
      <c r="F12" s="36">
        <v>8</v>
      </c>
      <c r="G12">
        <v>350</v>
      </c>
      <c r="I12" s="16" t="s">
        <v>343</v>
      </c>
      <c r="J12">
        <v>315</v>
      </c>
    </row>
    <row r="13" spans="1:11">
      <c r="A13" s="36" t="s">
        <v>344</v>
      </c>
      <c r="C13" t="s">
        <v>45</v>
      </c>
      <c r="E13" t="s">
        <v>327</v>
      </c>
      <c r="F13" s="36">
        <v>10</v>
      </c>
      <c r="G13">
        <v>330</v>
      </c>
      <c r="I13" s="16" t="s">
        <v>32</v>
      </c>
      <c r="J13">
        <v>315</v>
      </c>
    </row>
    <row r="14" spans="1:11">
      <c r="A14" s="36" t="s">
        <v>345</v>
      </c>
      <c r="C14" t="s">
        <v>61</v>
      </c>
      <c r="E14" t="s">
        <v>327</v>
      </c>
      <c r="F14" s="36">
        <v>12</v>
      </c>
      <c r="G14">
        <v>275</v>
      </c>
      <c r="I14" t="s">
        <v>44</v>
      </c>
      <c r="J14">
        <v>315</v>
      </c>
    </row>
    <row r="15" spans="1:11">
      <c r="C15" t="s">
        <v>346</v>
      </c>
      <c r="E15" t="s">
        <v>327</v>
      </c>
      <c r="F15" s="36">
        <v>16</v>
      </c>
      <c r="G15">
        <v>250</v>
      </c>
      <c r="I15" t="s">
        <v>60</v>
      </c>
      <c r="J15">
        <v>315</v>
      </c>
    </row>
    <row r="16" spans="1:11">
      <c r="C16" t="s">
        <v>34</v>
      </c>
      <c r="E16" t="s">
        <v>327</v>
      </c>
      <c r="F16" s="36">
        <v>20</v>
      </c>
      <c r="G16">
        <v>215</v>
      </c>
      <c r="I16" t="s">
        <v>71</v>
      </c>
      <c r="J16">
        <v>315</v>
      </c>
    </row>
    <row r="17" spans="3:10">
      <c r="C17" t="s">
        <v>46</v>
      </c>
      <c r="E17" t="s">
        <v>327</v>
      </c>
      <c r="F17" s="36">
        <v>25</v>
      </c>
      <c r="G17">
        <v>135</v>
      </c>
      <c r="I17" t="s">
        <v>33</v>
      </c>
      <c r="J17">
        <v>315</v>
      </c>
    </row>
    <row r="18" spans="3:10">
      <c r="C18" t="s">
        <v>62</v>
      </c>
      <c r="E18" t="s">
        <v>330</v>
      </c>
      <c r="F18" s="36">
        <v>10</v>
      </c>
      <c r="G18">
        <v>445</v>
      </c>
      <c r="I18" t="s">
        <v>45</v>
      </c>
      <c r="J18">
        <v>315</v>
      </c>
    </row>
    <row r="19" spans="3:10">
      <c r="C19" t="s">
        <v>35</v>
      </c>
      <c r="E19" t="s">
        <v>330</v>
      </c>
      <c r="F19" s="36">
        <v>12</v>
      </c>
      <c r="G19">
        <v>415</v>
      </c>
      <c r="I19" t="s">
        <v>61</v>
      </c>
      <c r="J19">
        <v>315</v>
      </c>
    </row>
    <row r="20" spans="3:10">
      <c r="C20" s="16" t="s">
        <v>47</v>
      </c>
      <c r="E20" t="s">
        <v>330</v>
      </c>
      <c r="F20" s="36">
        <v>16</v>
      </c>
      <c r="G20">
        <v>350</v>
      </c>
      <c r="I20" t="s">
        <v>346</v>
      </c>
      <c r="J20">
        <v>315</v>
      </c>
    </row>
    <row r="21" spans="3:10">
      <c r="C21" t="s">
        <v>63</v>
      </c>
      <c r="E21" t="s">
        <v>330</v>
      </c>
      <c r="F21" s="36">
        <v>20</v>
      </c>
      <c r="G21">
        <v>350</v>
      </c>
      <c r="I21" t="s">
        <v>34</v>
      </c>
      <c r="J21">
        <v>315</v>
      </c>
    </row>
    <row r="22" spans="3:10">
      <c r="C22" t="s">
        <v>36</v>
      </c>
      <c r="E22" t="s">
        <v>330</v>
      </c>
      <c r="F22" s="36">
        <v>25</v>
      </c>
      <c r="G22">
        <v>280</v>
      </c>
      <c r="I22" t="s">
        <v>46</v>
      </c>
      <c r="J22">
        <v>315</v>
      </c>
    </row>
    <row r="23" spans="3:10">
      <c r="C23" t="s">
        <v>48</v>
      </c>
      <c r="E23" t="s">
        <v>334</v>
      </c>
      <c r="F23" s="36">
        <v>20</v>
      </c>
      <c r="G23">
        <v>420</v>
      </c>
      <c r="I23" t="s">
        <v>62</v>
      </c>
      <c r="J23">
        <v>315</v>
      </c>
    </row>
    <row r="24" spans="3:10">
      <c r="C24" t="s">
        <v>64</v>
      </c>
      <c r="E24" t="s">
        <v>334</v>
      </c>
      <c r="F24" s="36">
        <v>25</v>
      </c>
      <c r="G24">
        <v>385</v>
      </c>
      <c r="I24" t="s">
        <v>35</v>
      </c>
      <c r="J24">
        <v>315</v>
      </c>
    </row>
    <row r="25" spans="3:10">
      <c r="C25" t="s">
        <v>37</v>
      </c>
      <c r="E25" t="s">
        <v>334</v>
      </c>
      <c r="F25" s="36">
        <v>32</v>
      </c>
      <c r="G25">
        <v>350</v>
      </c>
      <c r="I25" s="16" t="s">
        <v>47</v>
      </c>
      <c r="J25">
        <v>315</v>
      </c>
    </row>
    <row r="26" spans="3:10">
      <c r="C26" t="s">
        <v>49</v>
      </c>
      <c r="E26" t="s">
        <v>334</v>
      </c>
      <c r="F26" s="36">
        <v>38</v>
      </c>
      <c r="G26">
        <v>290</v>
      </c>
      <c r="I26" t="s">
        <v>63</v>
      </c>
      <c r="J26">
        <v>315</v>
      </c>
    </row>
    <row r="27" spans="3:10">
      <c r="C27" t="s">
        <v>65</v>
      </c>
      <c r="E27" t="s">
        <v>334</v>
      </c>
      <c r="F27" s="36">
        <v>50</v>
      </c>
      <c r="G27">
        <v>250</v>
      </c>
      <c r="I27" t="s">
        <v>36</v>
      </c>
      <c r="J27">
        <v>160</v>
      </c>
    </row>
    <row r="28" spans="3:10">
      <c r="C28" t="s">
        <v>38</v>
      </c>
      <c r="I28" t="s">
        <v>48</v>
      </c>
      <c r="J28">
        <v>160</v>
      </c>
    </row>
    <row r="29" spans="3:10">
      <c r="C29" t="s">
        <v>50</v>
      </c>
      <c r="I29" t="s">
        <v>64</v>
      </c>
      <c r="J29">
        <v>160</v>
      </c>
    </row>
    <row r="30" spans="3:10">
      <c r="C30" t="s">
        <v>66</v>
      </c>
      <c r="I30" t="s">
        <v>37</v>
      </c>
      <c r="J30">
        <v>160</v>
      </c>
    </row>
    <row r="31" spans="3:10">
      <c r="C31" t="s">
        <v>39</v>
      </c>
      <c r="I31" t="s">
        <v>49</v>
      </c>
      <c r="J31">
        <v>160</v>
      </c>
    </row>
    <row r="32" spans="3:10">
      <c r="C32" t="s">
        <v>51</v>
      </c>
      <c r="I32" t="s">
        <v>65</v>
      </c>
      <c r="J32">
        <v>160</v>
      </c>
    </row>
    <row r="33" spans="3:10">
      <c r="C33" t="s">
        <v>67</v>
      </c>
      <c r="I33" s="16" t="s">
        <v>38</v>
      </c>
      <c r="J33">
        <v>160</v>
      </c>
    </row>
    <row r="34" spans="3:10">
      <c r="C34" t="s">
        <v>124</v>
      </c>
      <c r="I34" t="s">
        <v>50</v>
      </c>
      <c r="J34">
        <v>160</v>
      </c>
    </row>
    <row r="35" spans="3:10">
      <c r="C35" t="s">
        <v>134</v>
      </c>
      <c r="I35" t="s">
        <v>66</v>
      </c>
      <c r="J35">
        <v>160</v>
      </c>
    </row>
    <row r="36" spans="3:10">
      <c r="C36" t="s">
        <v>140</v>
      </c>
      <c r="I36" t="s">
        <v>39</v>
      </c>
      <c r="J36">
        <v>160</v>
      </c>
    </row>
    <row r="37" spans="3:10">
      <c r="C37" t="s">
        <v>149</v>
      </c>
      <c r="I37" t="s">
        <v>51</v>
      </c>
      <c r="J37">
        <v>160</v>
      </c>
    </row>
    <row r="38" spans="3:10">
      <c r="C38" t="s">
        <v>153</v>
      </c>
      <c r="I38" t="s">
        <v>67</v>
      </c>
      <c r="J38">
        <v>160</v>
      </c>
    </row>
    <row r="39" spans="3:10">
      <c r="C39" t="s">
        <v>158</v>
      </c>
      <c r="I39" t="s">
        <v>124</v>
      </c>
      <c r="J39">
        <v>630</v>
      </c>
    </row>
    <row r="40" spans="3:10">
      <c r="C40" t="s">
        <v>164</v>
      </c>
      <c r="I40" t="s">
        <v>134</v>
      </c>
      <c r="J40">
        <v>630</v>
      </c>
    </row>
    <row r="41" spans="3:10">
      <c r="C41" t="s">
        <v>170</v>
      </c>
      <c r="I41" t="s">
        <v>140</v>
      </c>
      <c r="J41">
        <v>630</v>
      </c>
    </row>
    <row r="42" spans="3:10">
      <c r="C42" t="s">
        <v>176</v>
      </c>
      <c r="I42" t="s">
        <v>149</v>
      </c>
      <c r="J42">
        <v>630</v>
      </c>
    </row>
    <row r="43" spans="3:10">
      <c r="C43" t="s">
        <v>89</v>
      </c>
      <c r="I43" t="s">
        <v>153</v>
      </c>
      <c r="J43">
        <v>630</v>
      </c>
    </row>
    <row r="44" spans="3:10">
      <c r="C44" t="s">
        <v>98</v>
      </c>
      <c r="I44" t="s">
        <v>158</v>
      </c>
      <c r="J44">
        <v>630</v>
      </c>
    </row>
    <row r="45" spans="3:10">
      <c r="C45" t="s">
        <v>101</v>
      </c>
      <c r="I45" t="s">
        <v>164</v>
      </c>
      <c r="J45">
        <v>630</v>
      </c>
    </row>
    <row r="46" spans="3:10">
      <c r="C46" t="s">
        <v>113</v>
      </c>
      <c r="I46" t="s">
        <v>170</v>
      </c>
      <c r="J46">
        <v>630</v>
      </c>
    </row>
    <row r="47" spans="3:10">
      <c r="C47" t="s">
        <v>121</v>
      </c>
      <c r="I47" t="s">
        <v>176</v>
      </c>
      <c r="J47">
        <v>630</v>
      </c>
    </row>
    <row r="48" spans="3:10">
      <c r="C48" t="s">
        <v>125</v>
      </c>
      <c r="I48" t="s">
        <v>89</v>
      </c>
      <c r="J48">
        <v>630</v>
      </c>
    </row>
    <row r="49" spans="3:10">
      <c r="C49" t="s">
        <v>90</v>
      </c>
      <c r="I49" t="s">
        <v>98</v>
      </c>
      <c r="J49">
        <v>630</v>
      </c>
    </row>
    <row r="50" spans="3:10">
      <c r="C50" t="s">
        <v>99</v>
      </c>
      <c r="I50" t="s">
        <v>101</v>
      </c>
      <c r="J50">
        <v>630</v>
      </c>
    </row>
    <row r="51" spans="3:10">
      <c r="C51" t="s">
        <v>102</v>
      </c>
      <c r="I51" t="s">
        <v>113</v>
      </c>
      <c r="J51">
        <v>630</v>
      </c>
    </row>
    <row r="52" spans="3:10">
      <c r="C52" t="s">
        <v>114</v>
      </c>
      <c r="I52" t="s">
        <v>121</v>
      </c>
      <c r="J52">
        <v>630</v>
      </c>
    </row>
    <row r="53" spans="3:10">
      <c r="C53" t="s">
        <v>122</v>
      </c>
      <c r="I53" t="s">
        <v>125</v>
      </c>
      <c r="J53">
        <v>630</v>
      </c>
    </row>
    <row r="54" spans="3:10">
      <c r="C54" t="s">
        <v>126</v>
      </c>
      <c r="I54" t="s">
        <v>90</v>
      </c>
      <c r="J54">
        <v>630</v>
      </c>
    </row>
    <row r="55" spans="3:10">
      <c r="C55" t="s">
        <v>73</v>
      </c>
      <c r="I55" t="s">
        <v>99</v>
      </c>
      <c r="J55">
        <v>630</v>
      </c>
    </row>
    <row r="56" spans="3:10">
      <c r="C56" t="s">
        <v>81</v>
      </c>
      <c r="I56" t="s">
        <v>102</v>
      </c>
      <c r="J56">
        <v>630</v>
      </c>
    </row>
    <row r="57" spans="3:10">
      <c r="C57" t="s">
        <v>91</v>
      </c>
      <c r="I57" t="s">
        <v>114</v>
      </c>
      <c r="J57">
        <v>0</v>
      </c>
    </row>
    <row r="58" spans="3:10">
      <c r="C58" t="s">
        <v>74</v>
      </c>
      <c r="I58" t="s">
        <v>122</v>
      </c>
      <c r="J58">
        <v>0</v>
      </c>
    </row>
    <row r="59" spans="3:10">
      <c r="C59" t="s">
        <v>82</v>
      </c>
      <c r="I59" t="s">
        <v>126</v>
      </c>
      <c r="J59">
        <v>0</v>
      </c>
    </row>
    <row r="60" spans="3:10">
      <c r="C60" t="s">
        <v>92</v>
      </c>
      <c r="I60" t="s">
        <v>73</v>
      </c>
      <c r="J60">
        <v>400</v>
      </c>
    </row>
    <row r="61" spans="3:10">
      <c r="C61" t="s">
        <v>75</v>
      </c>
      <c r="I61" t="s">
        <v>81</v>
      </c>
      <c r="J61">
        <v>400</v>
      </c>
    </row>
    <row r="62" spans="3:10">
      <c r="C62" t="s">
        <v>83</v>
      </c>
      <c r="I62" t="s">
        <v>91</v>
      </c>
      <c r="J62">
        <v>400</v>
      </c>
    </row>
    <row r="63" spans="3:10">
      <c r="C63" t="s">
        <v>93</v>
      </c>
      <c r="I63" t="s">
        <v>74</v>
      </c>
      <c r="J63">
        <v>400</v>
      </c>
    </row>
    <row r="64" spans="3:10">
      <c r="C64" t="s">
        <v>76</v>
      </c>
      <c r="I64" t="s">
        <v>82</v>
      </c>
      <c r="J64">
        <v>400</v>
      </c>
    </row>
    <row r="65" spans="3:10">
      <c r="C65" t="s">
        <v>84</v>
      </c>
      <c r="I65" t="s">
        <v>92</v>
      </c>
      <c r="J65">
        <v>400</v>
      </c>
    </row>
    <row r="66" spans="3:10">
      <c r="C66" t="s">
        <v>94</v>
      </c>
      <c r="I66" t="s">
        <v>75</v>
      </c>
      <c r="J66">
        <v>400</v>
      </c>
    </row>
    <row r="67" spans="3:10">
      <c r="C67" t="s">
        <v>77</v>
      </c>
      <c r="I67" t="s">
        <v>83</v>
      </c>
      <c r="J67">
        <v>400</v>
      </c>
    </row>
    <row r="68" spans="3:10">
      <c r="C68" t="s">
        <v>347</v>
      </c>
      <c r="I68" t="s">
        <v>93</v>
      </c>
      <c r="J68">
        <v>400</v>
      </c>
    </row>
    <row r="69" spans="3:10">
      <c r="C69" t="s">
        <v>95</v>
      </c>
      <c r="I69" t="s">
        <v>76</v>
      </c>
      <c r="J69">
        <v>250</v>
      </c>
    </row>
    <row r="70" spans="3:10">
      <c r="C70" t="s">
        <v>348</v>
      </c>
      <c r="I70" t="s">
        <v>84</v>
      </c>
      <c r="J70">
        <v>250</v>
      </c>
    </row>
    <row r="71" spans="3:10">
      <c r="C71" t="s">
        <v>349</v>
      </c>
      <c r="I71" t="s">
        <v>94</v>
      </c>
      <c r="J71">
        <v>250</v>
      </c>
    </row>
    <row r="72" spans="3:10">
      <c r="C72" t="s">
        <v>350</v>
      </c>
      <c r="I72" t="s">
        <v>77</v>
      </c>
      <c r="J72">
        <v>250</v>
      </c>
    </row>
    <row r="73" spans="3:10">
      <c r="C73" t="s">
        <v>351</v>
      </c>
      <c r="I73" t="s">
        <v>347</v>
      </c>
      <c r="J73">
        <v>250</v>
      </c>
    </row>
    <row r="74" spans="3:10">
      <c r="C74" t="s">
        <v>352</v>
      </c>
      <c r="I74" t="s">
        <v>95</v>
      </c>
      <c r="J74">
        <v>250</v>
      </c>
    </row>
    <row r="75" spans="3:10">
      <c r="C75" t="s">
        <v>353</v>
      </c>
      <c r="I75" t="s">
        <v>348</v>
      </c>
      <c r="J75">
        <v>0</v>
      </c>
    </row>
    <row r="76" spans="3:10">
      <c r="I76" t="s">
        <v>349</v>
      </c>
      <c r="J76">
        <v>0</v>
      </c>
    </row>
    <row r="77" spans="3:10">
      <c r="I77" t="s">
        <v>350</v>
      </c>
      <c r="J77">
        <v>0</v>
      </c>
    </row>
    <row r="78" spans="3:10">
      <c r="I78" t="s">
        <v>351</v>
      </c>
      <c r="J78">
        <v>0</v>
      </c>
    </row>
    <row r="79" spans="3:10">
      <c r="I79" t="s">
        <v>352</v>
      </c>
      <c r="J79">
        <v>0</v>
      </c>
    </row>
    <row r="80" spans="3:10">
      <c r="I80" t="s">
        <v>353</v>
      </c>
      <c r="J80">
        <v>0</v>
      </c>
    </row>
  </sheetData>
  <mergeCells count="4">
    <mergeCell ref="E1:G1"/>
    <mergeCell ref="I1:K1"/>
    <mergeCell ref="E2:G2"/>
    <mergeCell ref="I2:K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11</vt:i4>
      </vt:variant>
    </vt:vector>
  </HeadingPairs>
  <TitlesOfParts>
    <vt:vector size="13" baseType="lpstr">
      <vt:lpstr>Tabelle1</vt:lpstr>
      <vt:lpstr>Auswahlseite</vt:lpstr>
      <vt:lpstr>Nennweite10</vt:lpstr>
      <vt:lpstr>Nennweite12</vt:lpstr>
      <vt:lpstr>Nennweite16</vt:lpstr>
      <vt:lpstr>Nennweite18</vt:lpstr>
      <vt:lpstr>Nennweite20</vt:lpstr>
      <vt:lpstr>Nennweite25</vt:lpstr>
      <vt:lpstr>Nennweite32</vt:lpstr>
      <vt:lpstr>Nennweite40</vt:lpstr>
      <vt:lpstr>Nennweite50</vt:lpstr>
      <vt:lpstr>Nennweite6</vt:lpstr>
      <vt:lpstr>Nennweite8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Jost</dc:creator>
  <cp:lastModifiedBy>Markus Jost</cp:lastModifiedBy>
  <dcterms:created xsi:type="dcterms:W3CDTF">2026-09-29T16:07:27Z</dcterms:created>
  <dcterms:modified xsi:type="dcterms:W3CDTF">2026-09-29T16:44:13Z</dcterms:modified>
</cp:coreProperties>
</file>